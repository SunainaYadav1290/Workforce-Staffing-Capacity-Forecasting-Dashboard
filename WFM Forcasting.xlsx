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7256" windowHeight="7032" firstSheet="4" activeTab="7"/>
  </bookViews>
  <sheets>
    <sheet name="Raw Data" sheetId="1" r:id="rId1"/>
    <sheet name="Edited Data" sheetId="5" r:id="rId2"/>
    <sheet name="Call Volume Forecast  I" sheetId="3" r:id="rId3"/>
    <sheet name="Workload Forecast" sheetId="7" r:id="rId4"/>
    <sheet name="AHT Forecast" sheetId="6" r:id="rId5"/>
    <sheet name="Capacity Plan 2024" sheetId="8" r:id="rId6"/>
    <sheet name="Call Volume  Forecast II" sheetId="4" r:id="rId7"/>
    <sheet name="Dashboard" sheetId="2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8" l="1"/>
  <c r="I3" i="8"/>
  <c r="I4" i="8"/>
  <c r="H3" i="8"/>
  <c r="H4" i="8"/>
  <c r="H2" i="8"/>
  <c r="G4" i="8"/>
  <c r="G3" i="8"/>
  <c r="G2" i="8"/>
  <c r="B4" i="8"/>
  <c r="F4" i="8" s="1"/>
  <c r="B3" i="8"/>
  <c r="F3" i="8" s="1"/>
  <c r="B2" i="8"/>
  <c r="F2" i="8" s="1"/>
  <c r="E3" i="7"/>
  <c r="E4" i="7"/>
  <c r="E2" i="7"/>
  <c r="D11" i="7"/>
  <c r="E15" i="5"/>
  <c r="D15" i="5"/>
  <c r="D3" i="7"/>
  <c r="D4" i="7"/>
  <c r="D2" i="7"/>
  <c r="B3" i="7"/>
  <c r="B4" i="7"/>
  <c r="B2" i="7"/>
  <c r="E14" i="6"/>
  <c r="E15" i="6"/>
  <c r="E16" i="6"/>
  <c r="E13" i="6"/>
  <c r="F13" i="6" s="1"/>
  <c r="E12" i="6"/>
  <c r="F12" i="6" s="1"/>
  <c r="E11" i="6"/>
  <c r="F11" i="6" s="1"/>
  <c r="E10" i="6"/>
  <c r="F10" i="6" s="1"/>
  <c r="E9" i="6"/>
  <c r="F9" i="6" s="1"/>
  <c r="E8" i="6"/>
  <c r="F8" i="6" s="1"/>
  <c r="E7" i="6"/>
  <c r="F7" i="6" s="1"/>
  <c r="E6" i="6"/>
  <c r="F6" i="6" s="1"/>
  <c r="E5" i="6"/>
  <c r="F5" i="6" s="1"/>
  <c r="E4" i="6"/>
  <c r="F4" i="6" s="1"/>
  <c r="E3" i="6"/>
  <c r="F3" i="6" s="1"/>
  <c r="E2" i="6"/>
  <c r="F2" i="6" s="1"/>
  <c r="F21" i="6" l="1"/>
  <c r="G14" i="6" s="1"/>
  <c r="H14" i="6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D5" i="4"/>
  <c r="E5" i="4" s="1"/>
  <c r="D4" i="4"/>
  <c r="E4" i="4" s="1"/>
  <c r="D3" i="4"/>
  <c r="E3" i="4" s="1"/>
  <c r="D2" i="4"/>
  <c r="E2" i="4" s="1"/>
  <c r="D16" i="4"/>
  <c r="D15" i="4"/>
  <c r="D14" i="4"/>
  <c r="B13" i="1"/>
  <c r="B12" i="1"/>
  <c r="B11" i="1"/>
  <c r="B10" i="1"/>
  <c r="B9" i="1"/>
  <c r="B8" i="1"/>
  <c r="B7" i="1"/>
  <c r="B6" i="1"/>
  <c r="B5" i="1"/>
  <c r="B4" i="1"/>
  <c r="B3" i="1"/>
  <c r="B2" i="1"/>
  <c r="C14" i="3"/>
  <c r="D14" i="3" s="1"/>
  <c r="C9" i="3"/>
  <c r="D9" i="3" s="1"/>
  <c r="C10" i="3"/>
  <c r="D10" i="3" s="1"/>
  <c r="C11" i="3"/>
  <c r="D11" i="3" s="1"/>
  <c r="C12" i="3"/>
  <c r="D12" i="3" s="1"/>
  <c r="C13" i="3"/>
  <c r="D13" i="3" s="1"/>
  <c r="C6" i="3"/>
  <c r="D6" i="3" s="1"/>
  <c r="C7" i="3"/>
  <c r="D7" i="3" s="1"/>
  <c r="C8" i="3"/>
  <c r="D8" i="3" s="1"/>
  <c r="C5" i="3"/>
  <c r="D5" i="3" s="1"/>
  <c r="G15" i="6" l="1"/>
  <c r="H15" i="6" s="1"/>
  <c r="G16" i="6"/>
  <c r="H16" i="6" s="1"/>
  <c r="G12" i="6"/>
  <c r="G8" i="6"/>
  <c r="G4" i="6"/>
  <c r="G11" i="6"/>
  <c r="G7" i="6"/>
  <c r="G13" i="6"/>
  <c r="G5" i="6"/>
  <c r="G10" i="6"/>
  <c r="G6" i="6"/>
  <c r="G2" i="6"/>
  <c r="G9" i="6"/>
  <c r="G3" i="6"/>
  <c r="G19" i="4"/>
  <c r="F11" i="4" s="1"/>
  <c r="C15" i="3"/>
  <c r="D15" i="3" s="1"/>
  <c r="F2" i="4" l="1"/>
  <c r="F3" i="4"/>
  <c r="G15" i="4" s="1"/>
  <c r="F7" i="4"/>
  <c r="F16" i="4"/>
  <c r="F13" i="4"/>
  <c r="F9" i="4"/>
  <c r="F5" i="4"/>
  <c r="F12" i="4"/>
  <c r="F8" i="4"/>
  <c r="F4" i="4"/>
  <c r="F14" i="4"/>
  <c r="F6" i="4"/>
  <c r="F15" i="4"/>
  <c r="F10" i="4"/>
  <c r="C16" i="3"/>
  <c r="D16" i="3" s="1"/>
  <c r="G14" i="4" l="1"/>
  <c r="G16" i="4"/>
</calcChain>
</file>

<file path=xl/sharedStrings.xml><?xml version="1.0" encoding="utf-8"?>
<sst xmlns="http://schemas.openxmlformats.org/spreadsheetml/2006/main" count="65" uniqueCount="41">
  <si>
    <t>Month</t>
  </si>
  <si>
    <t>Year</t>
  </si>
  <si>
    <t>Calls</t>
  </si>
  <si>
    <t>AHT (sec)</t>
  </si>
  <si>
    <t>Shrinkage %</t>
  </si>
  <si>
    <t>Adherence %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</si>
  <si>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</si>
  <si>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</si>
  <si>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</si>
  <si>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</si>
  <si>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</si>
  <si>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</si>
  <si>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</si>
  <si>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</si>
  <si>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</si>
  <si>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</si>
  <si>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</si>
  <si>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</si>
  <si>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Moving Average</t>
  </si>
  <si>
    <t>Forecast</t>
  </si>
  <si>
    <t>Time Index</t>
  </si>
  <si>
    <t>Trend</t>
  </si>
  <si>
    <t>Date</t>
  </si>
  <si>
    <t>Seasonal Index</t>
  </si>
  <si>
    <t>Deseasonalized</t>
  </si>
  <si>
    <t>Average of Deseasonalized sales</t>
  </si>
  <si>
    <t xml:space="preserve">    </t>
  </si>
  <si>
    <t>Deasonalized</t>
  </si>
  <si>
    <t>Average</t>
  </si>
  <si>
    <t>AHT Forecast</t>
  </si>
  <si>
    <t>Calls Forecast</t>
  </si>
  <si>
    <t>FTE Required</t>
  </si>
  <si>
    <t>Workload Hrs</t>
  </si>
  <si>
    <t>Average Shrinkage</t>
  </si>
  <si>
    <t xml:space="preserve">Average Adverence </t>
  </si>
  <si>
    <t>Effective Hours=</t>
  </si>
  <si>
    <t>Shrinkage</t>
  </si>
  <si>
    <t>Adherence</t>
  </si>
  <si>
    <t>Effective Working Hours per FTE</t>
  </si>
  <si>
    <t>Scheduled FTE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</si>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</sst>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1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164" fontId="0" fillId="0" borderId="0" xfId="0" applyNumberFormat="1"/>
    <xf numFmtId="17" fontId="0" fillId="0" borderId="0" xfId="0" applyNumberFormat="1" applyAlignment="1">
      <alignment vertical="center" wrapText="1"/>
    </xf>
    <xf numFmtId="17" fontId="0" fillId="0" borderId="0" xfId="0" applyNumberFormat="1"/>
    <xf numFmtId="9" fontId="0" fillId="0" borderId="0" xfId="0" applyNumberFormat="1"/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AHT Forecast</a:t>
            </a:r>
          </a:p>
        </c:rich>
      </c:tx>
      <c:layout>
        <c:manualLayout>
          <c:xMode val="edge"/>
          <c:yMode val="edge"/>
          <c:x val="0.4174080616348812"/>
          <c:y val="3.31858407079646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'AHT Forecast'!$C$1</c:f>
              <c:strCache>
                <c:ptCount val="1"/>
                <c:pt idx="0">
                  <c:v>AHT (sec)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'AHT Forecast'!$A$2:$A$16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'AHT Forecast'!$C$2:$C$16</c:f>
              <c:numCache>
                <c:formatCode>General</c:formatCode>
                <c:ptCount val="15"/>
                <c:pt idx="0">
                  <c:v>260</c:v>
                </c:pt>
                <c:pt idx="1">
                  <c:v>255</c:v>
                </c:pt>
                <c:pt idx="2">
                  <c:v>270</c:v>
                </c:pt>
                <c:pt idx="3">
                  <c:v>260</c:v>
                </c:pt>
                <c:pt idx="4">
                  <c:v>250</c:v>
                </c:pt>
                <c:pt idx="5">
                  <c:v>265</c:v>
                </c:pt>
                <c:pt idx="6">
                  <c:v>275</c:v>
                </c:pt>
                <c:pt idx="7">
                  <c:v>260</c:v>
                </c:pt>
                <c:pt idx="8">
                  <c:v>250</c:v>
                </c:pt>
                <c:pt idx="9">
                  <c:v>258</c:v>
                </c:pt>
                <c:pt idx="10">
                  <c:v>270</c:v>
                </c:pt>
                <c:pt idx="11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F9-440E-985A-D9D5B0DD9485}"/>
            </c:ext>
          </c:extLst>
        </c:ser>
        <c:ser>
          <c:idx val="6"/>
          <c:order val="6"/>
          <c:tx>
            <c:strRef>
              <c:f>'AHT Forecast'!$H$1</c:f>
              <c:strCache>
                <c:ptCount val="1"/>
                <c:pt idx="0">
                  <c:v>AHT Forecast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'AHT Forecast'!$A$2:$A$16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'AHT Forecast'!$H$2:$H$16</c:f>
              <c:numCache>
                <c:formatCode>0</c:formatCode>
                <c:ptCount val="15"/>
                <c:pt idx="12">
                  <c:v>271.58821584880343</c:v>
                </c:pt>
                <c:pt idx="13">
                  <c:v>265.52113571048454</c:v>
                </c:pt>
                <c:pt idx="14">
                  <c:v>285.95533614714981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CF9-440E-985A-D9D5B0DD9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759071"/>
        <c:axId val="35374867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'AHT Forecast'!$B$1</c15:sqref>
                        </c15:formulaRef>
                      </c:ext>
                    </c:extLst>
                    <c:strCache>
                      <c:ptCount val="1"/>
                      <c:pt idx="0">
                        <c:v>Calls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'AHT Forecast'!$A$2:$A$16</c15:sqref>
                        </c15:formulaRef>
                      </c:ext>
                    </c:extLst>
                    <c:numCache>
                      <c:formatCode>mmm\-yy</c:formatCode>
                      <c:ptCount val="15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'AHT Forecast'!$B$2:$B$16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42000</c:v>
                      </c:pt>
                      <c:pt idx="1">
                        <c:v>45000</c:v>
                      </c:pt>
                      <c:pt idx="2">
                        <c:v>48000</c:v>
                      </c:pt>
                      <c:pt idx="3">
                        <c:v>43000</c:v>
                      </c:pt>
                      <c:pt idx="4">
                        <c:v>47000</c:v>
                      </c:pt>
                      <c:pt idx="5">
                        <c:v>52000</c:v>
                      </c:pt>
                      <c:pt idx="6">
                        <c:v>53000</c:v>
                      </c:pt>
                      <c:pt idx="7">
                        <c:v>51000</c:v>
                      </c:pt>
                      <c:pt idx="8">
                        <c:v>48000</c:v>
                      </c:pt>
                      <c:pt idx="9">
                        <c:v>50000</c:v>
                      </c:pt>
                      <c:pt idx="10">
                        <c:v>55000</c:v>
                      </c:pt>
                      <c:pt idx="11">
                        <c:v>62000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CF9-440E-985A-D9D5B0DD948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'AHT Forecast'!$D$1</c15:sqref>
                        </c15:formulaRef>
                      </c:ext>
                    </c:extLst>
                    <c:strCache>
                      <c:ptCount val="1"/>
                      <c:pt idx="0">
                        <c:v>Time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'AHT Forecast'!$A$2:$A$16</c15:sqref>
                        </c15:formulaRef>
                      </c:ext>
                    </c:extLst>
                    <c:numCache>
                      <c:formatCode>mmm\-yy</c:formatCode>
                      <c:ptCount val="15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'AHT Forecast'!$D$2:$D$16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CF9-440E-985A-D9D5B0DD948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'AHT Forecast'!$E$1</c15:sqref>
                        </c15:formulaRef>
                      </c:ext>
                    </c:extLst>
                    <c:strCache>
                      <c:ptCount val="1"/>
                      <c:pt idx="0">
                        <c:v>Trend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'AHT Forecast'!$A$2:$A$16</c15:sqref>
                        </c15:formulaRef>
                      </c:ext>
                    </c:extLst>
                    <c:numCache>
                      <c:formatCode>mmm\-yy</c:formatCode>
                      <c:ptCount val="15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'AHT Forecast'!$E$2:$E$16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257.73076923076923</c:v>
                      </c:pt>
                      <c:pt idx="1">
                        <c:v>258.64335664335664</c:v>
                      </c:pt>
                      <c:pt idx="2">
                        <c:v>259.55594405594405</c:v>
                      </c:pt>
                      <c:pt idx="3">
                        <c:v>260.46853146853147</c:v>
                      </c:pt>
                      <c:pt idx="4">
                        <c:v>261.38111888111888</c:v>
                      </c:pt>
                      <c:pt idx="5">
                        <c:v>262.29370629370629</c:v>
                      </c:pt>
                      <c:pt idx="6">
                        <c:v>263.20629370629371</c:v>
                      </c:pt>
                      <c:pt idx="7">
                        <c:v>264.11888111888112</c:v>
                      </c:pt>
                      <c:pt idx="8">
                        <c:v>265.03146853146853</c:v>
                      </c:pt>
                      <c:pt idx="9">
                        <c:v>265.94405594405595</c:v>
                      </c:pt>
                      <c:pt idx="10">
                        <c:v>266.85664335664336</c:v>
                      </c:pt>
                      <c:pt idx="11">
                        <c:v>267.76923076923077</c:v>
                      </c:pt>
                      <c:pt idx="12">
                        <c:v>269.21818181818185</c:v>
                      </c:pt>
                      <c:pt idx="13">
                        <c:v>269.31515151515151</c:v>
                      </c:pt>
                      <c:pt idx="14">
                        <c:v>274.89444444444439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CF9-440E-985A-D9D5B0DD948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'AHT Forecast'!$F$1</c15:sqref>
                        </c15:formulaRef>
                      </c:ext>
                    </c:extLst>
                    <c:strCache>
                      <c:ptCount val="1"/>
                      <c:pt idx="0">
                        <c:v>Deasonalized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'AHT Forecast'!$A$2:$A$16</c15:sqref>
                        </c15:formulaRef>
                      </c:ext>
                    </c:extLst>
                    <c:numCache>
                      <c:formatCode>mmm\-yy</c:formatCode>
                      <c:ptCount val="15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'AHT Forecast'!$F$2:$F$16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1.0088046560214894</c:v>
                      </c:pt>
                      <c:pt idx="1">
                        <c:v>0.98591358892553937</c:v>
                      </c:pt>
                      <c:pt idx="2">
                        <c:v>1.0402381690083926</c:v>
                      </c:pt>
                      <c:pt idx="3">
                        <c:v>0.99820119741187208</c:v>
                      </c:pt>
                      <c:pt idx="4">
                        <c:v>0.95645776202260724</c:v>
                      </c:pt>
                      <c:pt idx="5">
                        <c:v>1.0103177988695744</c:v>
                      </c:pt>
                      <c:pt idx="6">
                        <c:v>1.0448078430330645</c:v>
                      </c:pt>
                      <c:pt idx="7">
                        <c:v>0.98440520003177212</c:v>
                      </c:pt>
                      <c:pt idx="8">
                        <c:v>0.94328421219277303</c:v>
                      </c:pt>
                      <c:pt idx="9">
                        <c:v>0.97012884564817248</c:v>
                      </c:pt>
                      <c:pt idx="10">
                        <c:v>1.0117791957652547</c:v>
                      </c:pt>
                      <c:pt idx="11">
                        <c:v>1.0456765297328354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3CF9-440E-985A-D9D5B0DD948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'AHT Forecast'!$G$1</c15:sqref>
                        </c15:formulaRef>
                      </c:ext>
                    </c:extLst>
                    <c:strCache>
                      <c:ptCount val="1"/>
                      <c:pt idx="0">
                        <c:v>Seasonal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6"/>
                      </a:solidFill>
                      <a:prstDash val="sysDot"/>
                    </a:ln>
                    <a:effectLst/>
                  </c:spPr>
                  <c:trendlineType val="linear"/>
                  <c:forward val="2"/>
                  <c:dispRSqr val="0"/>
                  <c:dispEq val="0"/>
                </c:trendline>
                <c:trendline>
                  <c:spPr>
                    <a:ln w="19050" cap="rnd">
                      <a:solidFill>
                        <a:schemeClr val="accent6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'AHT Forecast'!$A$2:$A$16</c15:sqref>
                        </c15:formulaRef>
                      </c:ext>
                    </c:extLst>
                    <c:numCache>
                      <c:formatCode>mmm\-yy</c:formatCode>
                      <c:ptCount val="15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'AHT Forecast'!$G$2:$G$16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1.0088033951296136</c:v>
                      </c:pt>
                      <c:pt idx="1">
                        <c:v>0.98591235664491195</c:v>
                      </c:pt>
                      <c:pt idx="2">
                        <c:v>1.040236868828176</c:v>
                      </c:pt>
                      <c:pt idx="3">
                        <c:v>0.99819994977312199</c:v>
                      </c:pt>
                      <c:pt idx="4">
                        <c:v>0.95645656655843647</c:v>
                      </c:pt>
                      <c:pt idx="5">
                        <c:v>1.010316536086441</c:v>
                      </c:pt>
                      <c:pt idx="6">
                        <c:v>1.0448065371412716</c:v>
                      </c:pt>
                      <c:pt idx="7">
                        <c:v>0.98440396963646049</c:v>
                      </c:pt>
                      <c:pt idx="8">
                        <c:v>0.9432830331940516</c:v>
                      </c:pt>
                      <c:pt idx="9">
                        <c:v>0.97012763309669126</c:v>
                      </c:pt>
                      <c:pt idx="10">
                        <c:v>1.0117779311555402</c:v>
                      </c:pt>
                      <c:pt idx="11">
                        <c:v>1.0456752227552824</c:v>
                      </c:pt>
                      <c:pt idx="12">
                        <c:v>1.0088033951296136</c:v>
                      </c:pt>
                      <c:pt idx="13">
                        <c:v>0.98591235664491195</c:v>
                      </c:pt>
                      <c:pt idx="14">
                        <c:v>1.040236868828176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3CF9-440E-985A-D9D5B0DD9485}"/>
                  </c:ext>
                </c:extLst>
              </c15:ser>
            </c15:filteredLineSeries>
          </c:ext>
        </c:extLst>
      </c:lineChart>
      <c:dateAx>
        <c:axId val="353759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748671"/>
        <c:crosses val="autoZero"/>
        <c:auto val="1"/>
        <c:lblOffset val="100"/>
        <c:baseTimeUnit val="months"/>
      </c:dateAx>
      <c:valAx>
        <c:axId val="35374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AHT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75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FTE Required vs Scheduled FTE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'Capacity Plan 2024'!$G$1</c:f>
              <c:strCache>
                <c:ptCount val="1"/>
                <c:pt idx="0">
                  <c:v>FTE Required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'Capacity Plan 2024'!$A$2:$A$4</c:f>
              <c:numCache>
                <c:formatCode>mmm\-yy</c:formatCode>
                <c:ptCount val="3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</c:numCache>
            </c:numRef>
          </c:cat>
          <c:val>
            <c:numRef>
              <c:f>'Capacity Plan 2024'!$G$2:$G$4</c:f>
              <c:numCache>
                <c:formatCode>0</c:formatCode>
                <c:ptCount val="3"/>
                <c:pt idx="0">
                  <c:v>890.36735197812061</c:v>
                </c:pt>
                <c:pt idx="1">
                  <c:v>927.27996859057134</c:v>
                </c:pt>
                <c:pt idx="2">
                  <c:v>978.61265317857351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25-4684-99A8-57E1D367965C}"/>
            </c:ext>
          </c:extLst>
        </c:ser>
        <c:ser>
          <c:idx val="6"/>
          <c:order val="6"/>
          <c:tx>
            <c:strRef>
              <c:f>'Capacity Plan 2024'!$H$1</c:f>
              <c:strCache>
                <c:ptCount val="1"/>
                <c:pt idx="0">
                  <c:v>Scheduled FTE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'Capacity Plan 2024'!$A$2:$A$4</c:f>
              <c:numCache>
                <c:formatCode>mmm\-yy</c:formatCode>
                <c:ptCount val="3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</c:numCache>
            </c:numRef>
          </c:cat>
          <c:val>
            <c:numRef>
              <c:f>'Capacity Plan 2024'!$H$2:$H$4</c:f>
              <c:numCache>
                <c:formatCode>General</c:formatCode>
                <c:ptCount val="3"/>
                <c:pt idx="0">
                  <c:v>935</c:v>
                </c:pt>
                <c:pt idx="1">
                  <c:v>974</c:v>
                </c:pt>
                <c:pt idx="2">
                  <c:v>1028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25-4684-99A8-57E1D367965C}"/>
            </c:ext>
          </c:extLst>
        </c:ser>
        <c:ser>
          <c:idx val="7"/>
          <c:order val="7"/>
          <c:tx>
            <c:strRef>
              <c:f>'Capacity Plan 2024'!$I$1</c:f>
              <c:strCache>
                <c:ptCount val="1"/>
                <c:pt idx="0">
                  <c:v>Gap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'Capacity Plan 2024'!$A$2:$A$4</c:f>
              <c:numCache>
                <c:formatCode>mmm\-yy</c:formatCode>
                <c:ptCount val="3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</c:numCache>
            </c:numRef>
          </c:cat>
          <c:val>
            <c:numRef>
              <c:f>'Capacity Plan 2024'!$I$2:$I$4</c:f>
              <c:numCache>
                <c:formatCode>0</c:formatCode>
                <c:ptCount val="3"/>
                <c:pt idx="0">
                  <c:v>44.63264802187939</c:v>
                </c:pt>
                <c:pt idx="1">
                  <c:v>46.720031409428657</c:v>
                </c:pt>
                <c:pt idx="2">
                  <c:v>49.38734682142649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A25-4684-99A8-57E1D36796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0681695"/>
        <c:axId val="30067711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'Capacity Plan 2024'!$B$1</c15:sqref>
                        </c15:formulaRef>
                      </c:ext>
                    </c:extLst>
                    <c:strCache>
                      <c:ptCount val="1"/>
                      <c:pt idx="0">
                        <c:v>Calls Forecast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'Capacity Plan 2024'!$A$2:$A$4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45292</c:v>
                      </c:pt>
                      <c:pt idx="1">
                        <c:v>45323</c:v>
                      </c:pt>
                      <c:pt idx="2">
                        <c:v>45352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'Capacity Plan 2024'!$B$2:$B$4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56933.529067406176</c:v>
                      </c:pt>
                      <c:pt idx="1">
                        <c:v>60539.529498237956</c:v>
                      </c:pt>
                      <c:pt idx="2">
                        <c:v>59423.002727833496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A25-4684-99A8-57E1D367965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'Capacity Plan 2024'!$C$1</c15:sqref>
                        </c15:formulaRef>
                      </c:ext>
                    </c:extLst>
                    <c:strCache>
                      <c:ptCount val="1"/>
                      <c:pt idx="0">
                        <c:v>Shrinkage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'Capacity Plan 2024'!$A$2:$A$4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45292</c:v>
                      </c:pt>
                      <c:pt idx="1">
                        <c:v>45323</c:v>
                      </c:pt>
                      <c:pt idx="2">
                        <c:v>45352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'Capacity Plan 2024'!$C$2:$C$4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0.33</c:v>
                      </c:pt>
                      <c:pt idx="1">
                        <c:v>0.33</c:v>
                      </c:pt>
                      <c:pt idx="2">
                        <c:v>0.33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A25-4684-99A8-57E1D367965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'Capacity Plan 2024'!$D$1</c15:sqref>
                        </c15:formulaRef>
                      </c:ext>
                    </c:extLst>
                    <c:strCache>
                      <c:ptCount val="1"/>
                      <c:pt idx="0">
                        <c:v>Adherence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'Capacity Plan 2024'!$A$2:$A$4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45292</c:v>
                      </c:pt>
                      <c:pt idx="1">
                        <c:v>45323</c:v>
                      </c:pt>
                      <c:pt idx="2">
                        <c:v>45352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'Capacity Plan 2024'!$D$2:$D$4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0.9</c:v>
                      </c:pt>
                      <c:pt idx="1">
                        <c:v>0.9</c:v>
                      </c:pt>
                      <c:pt idx="2">
                        <c:v>0.9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A25-4684-99A8-57E1D367965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'Capacity Plan 2024'!$E$1</c15:sqref>
                        </c15:formulaRef>
                      </c:ext>
                    </c:extLst>
                    <c:strCache>
                      <c:ptCount val="1"/>
                      <c:pt idx="0">
                        <c:v>AHT Forecast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'Capacity Plan 2024'!$A$2:$A$4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45292</c:v>
                      </c:pt>
                      <c:pt idx="1">
                        <c:v>45323</c:v>
                      </c:pt>
                      <c:pt idx="2">
                        <c:v>45352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'Capacity Plan 2024'!$E$2:$E$4</c15:sqref>
                        </c15:formulaRef>
                      </c:ext>
                    </c:extLst>
                    <c:numCache>
                      <c:formatCode>0</c:formatCode>
                      <c:ptCount val="3"/>
                      <c:pt idx="0">
                        <c:v>271.58821584880343</c:v>
                      </c:pt>
                      <c:pt idx="1">
                        <c:v>266</c:v>
                      </c:pt>
                      <c:pt idx="2">
                        <c:v>286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FA25-4684-99A8-57E1D367965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'Capacity Plan 2024'!$F$1</c15:sqref>
                        </c15:formulaRef>
                      </c:ext>
                    </c:extLst>
                    <c:strCache>
                      <c:ptCount val="1"/>
                      <c:pt idx="0">
                        <c:v>Workload Hrs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'Capacity Plan 2024'!$A$2:$A$4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45292</c:v>
                      </c:pt>
                      <c:pt idx="1">
                        <c:v>45323</c:v>
                      </c:pt>
                      <c:pt idx="2">
                        <c:v>45352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'Capacity Plan 2024'!$F$2:$F$4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4295.1321059424536</c:v>
                      </c:pt>
                      <c:pt idx="1">
                        <c:v>4473.198568480916</c:v>
                      </c:pt>
                      <c:pt idx="2">
                        <c:v>4720.8274389334383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FA25-4684-99A8-57E1D367965C}"/>
                  </c:ext>
                </c:extLst>
              </c15:ser>
            </c15:filteredBarSeries>
          </c:ext>
        </c:extLst>
      </c:barChart>
      <c:dateAx>
        <c:axId val="30068169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677119"/>
        <c:crosses val="autoZero"/>
        <c:auto val="1"/>
        <c:lblOffset val="100"/>
        <c:baseTimeUnit val="months"/>
      </c:dateAx>
      <c:valAx>
        <c:axId val="30067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68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Forecasted Call Volume 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'Call Volume  Forecast II'!$B$1</c:f>
              <c:strCache>
                <c:ptCount val="1"/>
                <c:pt idx="0">
                  <c:v>Calls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'Call Volume  Forecast II'!$A$2:$A$16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'Call Volume  Forecast II'!$B$2:$B$16</c:f>
              <c:numCache>
                <c:formatCode>General</c:formatCode>
                <c:ptCount val="15"/>
                <c:pt idx="0">
                  <c:v>42000</c:v>
                </c:pt>
                <c:pt idx="1">
                  <c:v>45000</c:v>
                </c:pt>
                <c:pt idx="2">
                  <c:v>48000</c:v>
                </c:pt>
                <c:pt idx="3">
                  <c:v>43000</c:v>
                </c:pt>
                <c:pt idx="4">
                  <c:v>47000</c:v>
                </c:pt>
                <c:pt idx="5">
                  <c:v>52000</c:v>
                </c:pt>
                <c:pt idx="6">
                  <c:v>53000</c:v>
                </c:pt>
                <c:pt idx="7">
                  <c:v>51000</c:v>
                </c:pt>
                <c:pt idx="8">
                  <c:v>48000</c:v>
                </c:pt>
                <c:pt idx="9">
                  <c:v>50000</c:v>
                </c:pt>
                <c:pt idx="10">
                  <c:v>55000</c:v>
                </c:pt>
                <c:pt idx="11">
                  <c:v>62000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95-48C5-B2A7-6B69D2754027}"/>
            </c:ext>
          </c:extLst>
        </c:ser>
        <c:ser>
          <c:idx val="1"/>
          <c:order val="1"/>
          <c:tx>
            <c:strRef>
              <c:f>'Call Volume  Forecast II'!$C$1</c:f>
              <c:strCache>
                <c:ptCount val="1"/>
                <c:pt idx="0">
                  <c:v>Time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'Call Volume  Forecast II'!$A$2:$A$16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'Call Volume  Forecast II'!$C$2:$C$16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95-48C5-B2A7-6B69D2754027}"/>
            </c:ext>
          </c:extLst>
        </c:ser>
        <c:ser>
          <c:idx val="2"/>
          <c:order val="2"/>
          <c:tx>
            <c:strRef>
              <c:f>'Call Volume  Forecast II'!$D$1</c:f>
              <c:strCache>
                <c:ptCount val="1"/>
                <c:pt idx="0">
                  <c:v>Trend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'Call Volume  Forecast II'!$A$2:$A$16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'Call Volume  Forecast II'!$D$2:$D$16</c:f>
              <c:numCache>
                <c:formatCode>0</c:formatCode>
                <c:ptCount val="15"/>
                <c:pt idx="0">
                  <c:v>42705.128205128203</c:v>
                </c:pt>
                <c:pt idx="1">
                  <c:v>43970.86247086247</c:v>
                </c:pt>
                <c:pt idx="2">
                  <c:v>45236.596736596737</c:v>
                </c:pt>
                <c:pt idx="3">
                  <c:v>46502.331002330997</c:v>
                </c:pt>
                <c:pt idx="4">
                  <c:v>47768.065268065264</c:v>
                </c:pt>
                <c:pt idx="5">
                  <c:v>49033.799533799531</c:v>
                </c:pt>
                <c:pt idx="6">
                  <c:v>50299.533799533798</c:v>
                </c:pt>
                <c:pt idx="7">
                  <c:v>51565.268065268065</c:v>
                </c:pt>
                <c:pt idx="8">
                  <c:v>52831.002331002324</c:v>
                </c:pt>
                <c:pt idx="9">
                  <c:v>54096.736596736591</c:v>
                </c:pt>
                <c:pt idx="10">
                  <c:v>55362.470862470858</c:v>
                </c:pt>
                <c:pt idx="11">
                  <c:v>56628.205128205125</c:v>
                </c:pt>
                <c:pt idx="12">
                  <c:v>57893.939393939392</c:v>
                </c:pt>
                <c:pt idx="13">
                  <c:v>59159.673659673659</c:v>
                </c:pt>
                <c:pt idx="14">
                  <c:v>60425.407925407926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95-48C5-B2A7-6B69D2754027}"/>
            </c:ext>
          </c:extLst>
        </c:ser>
        <c:ser>
          <c:idx val="3"/>
          <c:order val="3"/>
          <c:tx>
            <c:strRef>
              <c:f>'Call Volume  Forecast II'!$E$1</c:f>
              <c:strCache>
                <c:ptCount val="1"/>
                <c:pt idx="0">
                  <c:v>Deseasonalized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'Call Volume  Forecast II'!$A$2:$A$16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'Call Volume  Forecast II'!$E$2:$E$16</c:f>
              <c:numCache>
                <c:formatCode>General</c:formatCode>
                <c:ptCount val="15"/>
                <c:pt idx="0">
                  <c:v>0.9834884419093366</c:v>
                </c:pt>
                <c:pt idx="1">
                  <c:v>1.0234049884697962</c:v>
                </c:pt>
                <c:pt idx="2">
                  <c:v>1.0610877798675702</c:v>
                </c:pt>
                <c:pt idx="3">
                  <c:v>0.9246848291937142</c:v>
                </c:pt>
                <c:pt idx="4">
                  <c:v>0.98392094668781271</c:v>
                </c:pt>
                <c:pt idx="5">
                  <c:v>1.0604929761593498</c:v>
                </c:pt>
                <c:pt idx="6">
                  <c:v>1.0536876984035035</c:v>
                </c:pt>
                <c:pt idx="7">
                  <c:v>0.98903781389146306</c:v>
                </c:pt>
                <c:pt idx="8">
                  <c:v>0.90855743563723013</c:v>
                </c:pt>
                <c:pt idx="9">
                  <c:v>0.92427017128083599</c:v>
                </c:pt>
                <c:pt idx="10">
                  <c:v>0.99345276941538085</c:v>
                </c:pt>
                <c:pt idx="11">
                  <c:v>1.094860765225266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95-48C5-B2A7-6B69D2754027}"/>
            </c:ext>
          </c:extLst>
        </c:ser>
        <c:ser>
          <c:idx val="4"/>
          <c:order val="4"/>
          <c:tx>
            <c:strRef>
              <c:f>'Call Volume  Forecast II'!$F$1</c:f>
              <c:strCache>
                <c:ptCount val="1"/>
                <c:pt idx="0">
                  <c:v>Seasonal Index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'Call Volume  Forecast II'!$A$2:$A$16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'Call Volume  Forecast II'!$F$2:$F$16</c:f>
              <c:numCache>
                <c:formatCode>General</c:formatCode>
                <c:ptCount val="15"/>
                <c:pt idx="0">
                  <c:v>0.98341086585941051</c:v>
                </c:pt>
                <c:pt idx="1">
                  <c:v>1.0233242638643032</c:v>
                </c:pt>
                <c:pt idx="2">
                  <c:v>1.0610040829016687</c:v>
                </c:pt>
                <c:pt idx="3">
                  <c:v>0.92461189148197442</c:v>
                </c:pt>
                <c:pt idx="4">
                  <c:v>0.98384333652257749</c:v>
                </c:pt>
                <c:pt idx="5">
                  <c:v>1.0604093261106466</c:v>
                </c:pt>
                <c:pt idx="6">
                  <c:v>1.0536045851446032</c:v>
                </c:pt>
                <c:pt idx="7">
                  <c:v>0.98895980011564255</c:v>
                </c:pt>
                <c:pt idx="8">
                  <c:v>0.90848577002939557</c:v>
                </c:pt>
                <c:pt idx="9">
                  <c:v>0.9241972662766722</c:v>
                </c:pt>
                <c:pt idx="10">
                  <c:v>0.99337440739468463</c:v>
                </c:pt>
                <c:pt idx="11">
                  <c:v>1.0947744042984204</c:v>
                </c:pt>
                <c:pt idx="12">
                  <c:v>0.98341086585941051</c:v>
                </c:pt>
                <c:pt idx="13">
                  <c:v>1.0233242638643032</c:v>
                </c:pt>
                <c:pt idx="14">
                  <c:v>1.0610040829016687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95-48C5-B2A7-6B69D2754027}"/>
            </c:ext>
          </c:extLst>
        </c:ser>
        <c:ser>
          <c:idx val="5"/>
          <c:order val="5"/>
          <c:tx>
            <c:strRef>
              <c:f>'Call Volume  Forecast II'!$G$1</c:f>
              <c:strCache>
                <c:ptCount val="1"/>
                <c:pt idx="0">
                  <c:v>Calls 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'Call Volume  Forecast II'!$A$2:$A$16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'Call Volume  Forecast II'!$G$2:$G$16</c:f>
              <c:numCache>
                <c:formatCode>General</c:formatCode>
                <c:ptCount val="15"/>
                <c:pt idx="12">
                  <c:v>56933.529067406176</c:v>
                </c:pt>
                <c:pt idx="13">
                  <c:v>60539.529498237956</c:v>
                </c:pt>
                <c:pt idx="14">
                  <c:v>59423.002727833496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95-48C5-B2A7-6B69D2754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506527"/>
        <c:axId val="359501951"/>
      </c:lineChart>
      <c:dateAx>
        <c:axId val="359506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01951"/>
        <c:crosses val="autoZero"/>
        <c:auto val="1"/>
        <c:lblOffset val="100"/>
        <c:baseTimeUnit val="months"/>
      </c:dateAx>
      <c:valAx>
        <c:axId val="35950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Call</a:t>
                </a:r>
                <a:r>
                  <a:rPr lang="en-IN" baseline="0"/>
                  <a:t> Volume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0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Forecasted Call Volume </a:t>
            </a:r>
            <a:endParaRPr lang="en-IN"/>
          </a:p>
        </c:rich>
      </c:tx>
      <c:layout>
        <c:manualLayout>
          <c:xMode val="edge"/>
          <c:yMode val="edge"/>
          <c:x val="0.36934441817601582"/>
          <c:y val="7.10382513661202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'Call Volume  Forecast II'!$B$1</c:f>
              <c:strCache>
                <c:ptCount val="1"/>
                <c:pt idx="0">
                  <c:v>Calls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'Call Volume  Forecast II'!$A$2:$A$16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'Call Volume  Forecast II'!$B$2:$B$16</c:f>
              <c:numCache>
                <c:formatCode>General</c:formatCode>
                <c:ptCount val="15"/>
                <c:pt idx="0">
                  <c:v>42000</c:v>
                </c:pt>
                <c:pt idx="1">
                  <c:v>45000</c:v>
                </c:pt>
                <c:pt idx="2">
                  <c:v>48000</c:v>
                </c:pt>
                <c:pt idx="3">
                  <c:v>43000</c:v>
                </c:pt>
                <c:pt idx="4">
                  <c:v>47000</c:v>
                </c:pt>
                <c:pt idx="5">
                  <c:v>52000</c:v>
                </c:pt>
                <c:pt idx="6">
                  <c:v>53000</c:v>
                </c:pt>
                <c:pt idx="7">
                  <c:v>51000</c:v>
                </c:pt>
                <c:pt idx="8">
                  <c:v>48000</c:v>
                </c:pt>
                <c:pt idx="9">
                  <c:v>50000</c:v>
                </c:pt>
                <c:pt idx="10">
                  <c:v>55000</c:v>
                </c:pt>
                <c:pt idx="11">
                  <c:v>62000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AF-4DD8-ADAF-3E38012742CD}"/>
            </c:ext>
          </c:extLst>
        </c:ser>
        <c:ser>
          <c:idx val="1"/>
          <c:order val="1"/>
          <c:tx>
            <c:strRef>
              <c:f>'Call Volume  Forecast II'!$C$1</c:f>
              <c:strCache>
                <c:ptCount val="1"/>
                <c:pt idx="0">
                  <c:v>Time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'Call Volume  Forecast II'!$A$2:$A$16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'Call Volume  Forecast II'!$C$2:$C$16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AF-4DD8-ADAF-3E38012742CD}"/>
            </c:ext>
          </c:extLst>
        </c:ser>
        <c:ser>
          <c:idx val="2"/>
          <c:order val="2"/>
          <c:tx>
            <c:strRef>
              <c:f>'Call Volume  Forecast II'!$D$1</c:f>
              <c:strCache>
                <c:ptCount val="1"/>
                <c:pt idx="0">
                  <c:v>Trend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'Call Volume  Forecast II'!$A$2:$A$16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'Call Volume  Forecast II'!$D$2:$D$16</c:f>
              <c:numCache>
                <c:formatCode>0</c:formatCode>
                <c:ptCount val="15"/>
                <c:pt idx="0">
                  <c:v>42705.128205128203</c:v>
                </c:pt>
                <c:pt idx="1">
                  <c:v>43970.86247086247</c:v>
                </c:pt>
                <c:pt idx="2">
                  <c:v>45236.596736596737</c:v>
                </c:pt>
                <c:pt idx="3">
                  <c:v>46502.331002330997</c:v>
                </c:pt>
                <c:pt idx="4">
                  <c:v>47768.065268065264</c:v>
                </c:pt>
                <c:pt idx="5">
                  <c:v>49033.799533799531</c:v>
                </c:pt>
                <c:pt idx="6">
                  <c:v>50299.533799533798</c:v>
                </c:pt>
                <c:pt idx="7">
                  <c:v>51565.268065268065</c:v>
                </c:pt>
                <c:pt idx="8">
                  <c:v>52831.002331002324</c:v>
                </c:pt>
                <c:pt idx="9">
                  <c:v>54096.736596736591</c:v>
                </c:pt>
                <c:pt idx="10">
                  <c:v>55362.470862470858</c:v>
                </c:pt>
                <c:pt idx="11">
                  <c:v>56628.205128205125</c:v>
                </c:pt>
                <c:pt idx="12">
                  <c:v>57893.939393939392</c:v>
                </c:pt>
                <c:pt idx="13">
                  <c:v>59159.673659673659</c:v>
                </c:pt>
                <c:pt idx="14">
                  <c:v>60425.407925407926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AF-4DD8-ADAF-3E38012742CD}"/>
            </c:ext>
          </c:extLst>
        </c:ser>
        <c:ser>
          <c:idx val="3"/>
          <c:order val="3"/>
          <c:tx>
            <c:strRef>
              <c:f>'Call Volume  Forecast II'!$E$1</c:f>
              <c:strCache>
                <c:ptCount val="1"/>
                <c:pt idx="0">
                  <c:v>Deseasonalized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'Call Volume  Forecast II'!$A$2:$A$16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'Call Volume  Forecast II'!$E$2:$E$16</c:f>
              <c:numCache>
                <c:formatCode>General</c:formatCode>
                <c:ptCount val="15"/>
                <c:pt idx="0">
                  <c:v>0.9834884419093366</c:v>
                </c:pt>
                <c:pt idx="1">
                  <c:v>1.0234049884697962</c:v>
                </c:pt>
                <c:pt idx="2">
                  <c:v>1.0610877798675702</c:v>
                </c:pt>
                <c:pt idx="3">
                  <c:v>0.9246848291937142</c:v>
                </c:pt>
                <c:pt idx="4">
                  <c:v>0.98392094668781271</c:v>
                </c:pt>
                <c:pt idx="5">
                  <c:v>1.0604929761593498</c:v>
                </c:pt>
                <c:pt idx="6">
                  <c:v>1.0536876984035035</c:v>
                </c:pt>
                <c:pt idx="7">
                  <c:v>0.98903781389146306</c:v>
                </c:pt>
                <c:pt idx="8">
                  <c:v>0.90855743563723013</c:v>
                </c:pt>
                <c:pt idx="9">
                  <c:v>0.92427017128083599</c:v>
                </c:pt>
                <c:pt idx="10">
                  <c:v>0.99345276941538085</c:v>
                </c:pt>
                <c:pt idx="11">
                  <c:v>1.094860765225266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AF-4DD8-ADAF-3E38012742CD}"/>
            </c:ext>
          </c:extLst>
        </c:ser>
        <c:ser>
          <c:idx val="4"/>
          <c:order val="4"/>
          <c:tx>
            <c:strRef>
              <c:f>'Call Volume  Forecast II'!$F$1</c:f>
              <c:strCache>
                <c:ptCount val="1"/>
                <c:pt idx="0">
                  <c:v>Seasonal Index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'Call Volume  Forecast II'!$A$2:$A$16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'Call Volume  Forecast II'!$F$2:$F$16</c:f>
              <c:numCache>
                <c:formatCode>General</c:formatCode>
                <c:ptCount val="15"/>
                <c:pt idx="0">
                  <c:v>0.98341086585941051</c:v>
                </c:pt>
                <c:pt idx="1">
                  <c:v>1.0233242638643032</c:v>
                </c:pt>
                <c:pt idx="2">
                  <c:v>1.0610040829016687</c:v>
                </c:pt>
                <c:pt idx="3">
                  <c:v>0.92461189148197442</c:v>
                </c:pt>
                <c:pt idx="4">
                  <c:v>0.98384333652257749</c:v>
                </c:pt>
                <c:pt idx="5">
                  <c:v>1.0604093261106466</c:v>
                </c:pt>
                <c:pt idx="6">
                  <c:v>1.0536045851446032</c:v>
                </c:pt>
                <c:pt idx="7">
                  <c:v>0.98895980011564255</c:v>
                </c:pt>
                <c:pt idx="8">
                  <c:v>0.90848577002939557</c:v>
                </c:pt>
                <c:pt idx="9">
                  <c:v>0.9241972662766722</c:v>
                </c:pt>
                <c:pt idx="10">
                  <c:v>0.99337440739468463</c:v>
                </c:pt>
                <c:pt idx="11">
                  <c:v>1.0947744042984204</c:v>
                </c:pt>
                <c:pt idx="12">
                  <c:v>0.98341086585941051</c:v>
                </c:pt>
                <c:pt idx="13">
                  <c:v>1.0233242638643032</c:v>
                </c:pt>
                <c:pt idx="14">
                  <c:v>1.0610040829016687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AF-4DD8-ADAF-3E38012742CD}"/>
            </c:ext>
          </c:extLst>
        </c:ser>
        <c:ser>
          <c:idx val="5"/>
          <c:order val="5"/>
          <c:tx>
            <c:strRef>
              <c:f>'Call Volume  Forecast II'!$G$1</c:f>
              <c:strCache>
                <c:ptCount val="1"/>
                <c:pt idx="0">
                  <c:v>Calls 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'Call Volume  Forecast II'!$A$2:$A$16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'Call Volume  Forecast II'!$G$2:$G$16</c:f>
              <c:numCache>
                <c:formatCode>General</c:formatCode>
                <c:ptCount val="15"/>
                <c:pt idx="12">
                  <c:v>56933.529067406176</c:v>
                </c:pt>
                <c:pt idx="13">
                  <c:v>60539.529498237956</c:v>
                </c:pt>
                <c:pt idx="14">
                  <c:v>59423.002727833496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AF-4DD8-ADAF-3E3801274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506527"/>
        <c:axId val="359501951"/>
      </c:lineChart>
      <c:dateAx>
        <c:axId val="359506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01951"/>
        <c:crosses val="autoZero"/>
        <c:auto val="1"/>
        <c:lblOffset val="100"/>
        <c:baseTimeUnit val="months"/>
      </c:dateAx>
      <c:valAx>
        <c:axId val="35950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Call</a:t>
                </a:r>
                <a:r>
                  <a:rPr lang="en-IN" baseline="0"/>
                  <a:t> Volume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0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FTE Required vs Scheduled FTE</a:t>
            </a:r>
          </a:p>
        </c:rich>
      </c:tx>
      <c:layout>
        <c:manualLayout>
          <c:xMode val="edge"/>
          <c:yMode val="edge"/>
          <c:x val="0.254908136482939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'Capacity Plan 2024'!$G$1</c:f>
              <c:strCache>
                <c:ptCount val="1"/>
                <c:pt idx="0">
                  <c:v>FTE Required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'Capacity Plan 2024'!$A$2:$A$4</c:f>
              <c:numCache>
                <c:formatCode>mmm\-yy</c:formatCode>
                <c:ptCount val="3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</c:numCache>
            </c:numRef>
          </c:cat>
          <c:val>
            <c:numRef>
              <c:f>'Capacity Plan 2024'!$G$2:$G$4</c:f>
              <c:numCache>
                <c:formatCode>0</c:formatCode>
                <c:ptCount val="3"/>
                <c:pt idx="0">
                  <c:v>890.36735197812061</c:v>
                </c:pt>
                <c:pt idx="1">
                  <c:v>927.27996859057134</c:v>
                </c:pt>
                <c:pt idx="2">
                  <c:v>978.61265317857351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2-41FD-9582-B1D0FA58D8FE}"/>
            </c:ext>
          </c:extLst>
        </c:ser>
        <c:ser>
          <c:idx val="6"/>
          <c:order val="6"/>
          <c:tx>
            <c:strRef>
              <c:f>'Capacity Plan 2024'!$H$1</c:f>
              <c:strCache>
                <c:ptCount val="1"/>
                <c:pt idx="0">
                  <c:v>Scheduled FTE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'Capacity Plan 2024'!$A$2:$A$4</c:f>
              <c:numCache>
                <c:formatCode>mmm\-yy</c:formatCode>
                <c:ptCount val="3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</c:numCache>
            </c:numRef>
          </c:cat>
          <c:val>
            <c:numRef>
              <c:f>'Capacity Plan 2024'!$H$2:$H$4</c:f>
              <c:numCache>
                <c:formatCode>General</c:formatCode>
                <c:ptCount val="3"/>
                <c:pt idx="0">
                  <c:v>935</c:v>
                </c:pt>
                <c:pt idx="1">
                  <c:v>974</c:v>
                </c:pt>
                <c:pt idx="2">
                  <c:v>1028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82-41FD-9582-B1D0FA58D8FE}"/>
            </c:ext>
          </c:extLst>
        </c:ser>
        <c:ser>
          <c:idx val="7"/>
          <c:order val="7"/>
          <c:tx>
            <c:strRef>
              <c:f>'Capacity Plan 2024'!$I$1</c:f>
              <c:strCache>
                <c:ptCount val="1"/>
                <c:pt idx="0">
                  <c:v>Gap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'Capacity Plan 2024'!$A$2:$A$4</c:f>
              <c:numCache>
                <c:formatCode>mmm\-yy</c:formatCode>
                <c:ptCount val="3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</c:numCache>
            </c:numRef>
          </c:cat>
          <c:val>
            <c:numRef>
              <c:f>'Capacity Plan 2024'!$I$2:$I$4</c:f>
              <c:numCache>
                <c:formatCode>0</c:formatCode>
                <c:ptCount val="3"/>
                <c:pt idx="0">
                  <c:v>44.63264802187939</c:v>
                </c:pt>
                <c:pt idx="1">
                  <c:v>46.720031409428657</c:v>
                </c:pt>
                <c:pt idx="2">
                  <c:v>49.38734682142649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82-41FD-9582-B1D0FA58D8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0681695"/>
        <c:axId val="30067711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'Capacity Plan 2024'!$B$1</c15:sqref>
                        </c15:formulaRef>
                      </c:ext>
                    </c:extLst>
                    <c:strCache>
                      <c:ptCount val="1"/>
                      <c:pt idx="0">
                        <c:v>Calls Forecast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'Capacity Plan 2024'!$A$2:$A$4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45292</c:v>
                      </c:pt>
                      <c:pt idx="1">
                        <c:v>45323</c:v>
                      </c:pt>
                      <c:pt idx="2">
                        <c:v>45352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'Capacity Plan 2024'!$B$2:$B$4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56933.529067406176</c:v>
                      </c:pt>
                      <c:pt idx="1">
                        <c:v>60539.529498237956</c:v>
                      </c:pt>
                      <c:pt idx="2">
                        <c:v>59423.002727833496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F482-41FD-9582-B1D0FA58D8F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'Capacity Plan 2024'!$C$1</c15:sqref>
                        </c15:formulaRef>
                      </c:ext>
                    </c:extLst>
                    <c:strCache>
                      <c:ptCount val="1"/>
                      <c:pt idx="0">
                        <c:v>Shrinkage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'Capacity Plan 2024'!$A$2:$A$4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45292</c:v>
                      </c:pt>
                      <c:pt idx="1">
                        <c:v>45323</c:v>
                      </c:pt>
                      <c:pt idx="2">
                        <c:v>45352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'Capacity Plan 2024'!$C$2:$C$4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0.33</c:v>
                      </c:pt>
                      <c:pt idx="1">
                        <c:v>0.33</c:v>
                      </c:pt>
                      <c:pt idx="2">
                        <c:v>0.33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F482-41FD-9582-B1D0FA58D8F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'Capacity Plan 2024'!$D$1</c15:sqref>
                        </c15:formulaRef>
                      </c:ext>
                    </c:extLst>
                    <c:strCache>
                      <c:ptCount val="1"/>
                      <c:pt idx="0">
                        <c:v>Adherence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'Capacity Plan 2024'!$A$2:$A$4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45292</c:v>
                      </c:pt>
                      <c:pt idx="1">
                        <c:v>45323</c:v>
                      </c:pt>
                      <c:pt idx="2">
                        <c:v>45352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'Capacity Plan 2024'!$D$2:$D$4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0.9</c:v>
                      </c:pt>
                      <c:pt idx="1">
                        <c:v>0.9</c:v>
                      </c:pt>
                      <c:pt idx="2">
                        <c:v>0.9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F482-41FD-9582-B1D0FA58D8F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'Capacity Plan 2024'!$E$1</c15:sqref>
                        </c15:formulaRef>
                      </c:ext>
                    </c:extLst>
                    <c:strCache>
                      <c:ptCount val="1"/>
                      <c:pt idx="0">
                        <c:v>AHT Forecast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'Capacity Plan 2024'!$A$2:$A$4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45292</c:v>
                      </c:pt>
                      <c:pt idx="1">
                        <c:v>45323</c:v>
                      </c:pt>
                      <c:pt idx="2">
                        <c:v>45352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'Capacity Plan 2024'!$E$2:$E$4</c15:sqref>
                        </c15:formulaRef>
                      </c:ext>
                    </c:extLst>
                    <c:numCache>
                      <c:formatCode>0</c:formatCode>
                      <c:ptCount val="3"/>
                      <c:pt idx="0">
                        <c:v>271.58821584880343</c:v>
                      </c:pt>
                      <c:pt idx="1">
                        <c:v>266</c:v>
                      </c:pt>
                      <c:pt idx="2">
                        <c:v>286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F482-41FD-9582-B1D0FA58D8F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'Capacity Plan 2024'!$F$1</c15:sqref>
                        </c15:formulaRef>
                      </c:ext>
                    </c:extLst>
                    <c:strCache>
                      <c:ptCount val="1"/>
                      <c:pt idx="0">
                        <c:v>Workload Hrs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'Capacity Plan 2024'!$A$2:$A$4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45292</c:v>
                      </c:pt>
                      <c:pt idx="1">
                        <c:v>45323</c:v>
                      </c:pt>
                      <c:pt idx="2">
                        <c:v>45352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'Capacity Plan 2024'!$F$2:$F$4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4295.1321059424536</c:v>
                      </c:pt>
                      <c:pt idx="1">
                        <c:v>4473.198568480916</c:v>
                      </c:pt>
                      <c:pt idx="2">
                        <c:v>4720.8274389334383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F482-41FD-9582-B1D0FA58D8FE}"/>
                  </c:ext>
                </c:extLst>
              </c15:ser>
            </c15:filteredBarSeries>
          </c:ext>
        </c:extLst>
      </c:barChart>
      <c:dateAx>
        <c:axId val="30068169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677119"/>
        <c:crosses val="autoZero"/>
        <c:auto val="1"/>
        <c:lblOffset val="100"/>
        <c:baseTimeUnit val="months"/>
      </c:dateAx>
      <c:valAx>
        <c:axId val="30067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68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AHT Forecast</a:t>
            </a:r>
          </a:p>
        </c:rich>
      </c:tx>
      <c:layout>
        <c:manualLayout>
          <c:xMode val="edge"/>
          <c:yMode val="edge"/>
          <c:x val="0.4174080616348812"/>
          <c:y val="3.31858407079646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'AHT Forecast'!$C$1</c:f>
              <c:strCache>
                <c:ptCount val="1"/>
                <c:pt idx="0">
                  <c:v>AHT (sec)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'AHT Forecast'!$A$2:$A$16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'AHT Forecast'!$C$2:$C$16</c:f>
              <c:numCache>
                <c:formatCode>General</c:formatCode>
                <c:ptCount val="15"/>
                <c:pt idx="0">
                  <c:v>260</c:v>
                </c:pt>
                <c:pt idx="1">
                  <c:v>255</c:v>
                </c:pt>
                <c:pt idx="2">
                  <c:v>270</c:v>
                </c:pt>
                <c:pt idx="3">
                  <c:v>260</c:v>
                </c:pt>
                <c:pt idx="4">
                  <c:v>250</c:v>
                </c:pt>
                <c:pt idx="5">
                  <c:v>265</c:v>
                </c:pt>
                <c:pt idx="6">
                  <c:v>275</c:v>
                </c:pt>
                <c:pt idx="7">
                  <c:v>260</c:v>
                </c:pt>
                <c:pt idx="8">
                  <c:v>250</c:v>
                </c:pt>
                <c:pt idx="9">
                  <c:v>258</c:v>
                </c:pt>
                <c:pt idx="10">
                  <c:v>270</c:v>
                </c:pt>
                <c:pt idx="11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5A-4670-98E3-8E9098EFB625}"/>
            </c:ext>
          </c:extLst>
        </c:ser>
        <c:ser>
          <c:idx val="6"/>
          <c:order val="6"/>
          <c:tx>
            <c:strRef>
              <c:f>'AHT Forecast'!$H$1</c:f>
              <c:strCache>
                <c:ptCount val="1"/>
                <c:pt idx="0">
                  <c:v>AHT Forecast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'AHT Forecast'!$A$2:$A$16</c:f>
              <c:numCache>
                <c:formatCode>mmm\-yy</c:formatCode>
                <c:ptCount val="15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</c:numCache>
            </c:numRef>
          </c:cat>
          <c:val>
            <c:numRef>
              <c:f>'AHT Forecast'!$H$2:$H$16</c:f>
              <c:numCache>
                <c:formatCode>0</c:formatCode>
                <c:ptCount val="15"/>
                <c:pt idx="12">
                  <c:v>271.58821584880343</c:v>
                </c:pt>
                <c:pt idx="13">
                  <c:v>265.52113571048454</c:v>
                </c:pt>
                <c:pt idx="14">
                  <c:v>285.95533614714981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5A-4670-98E3-8E9098EFB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759071"/>
        <c:axId val="35374867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'AHT Forecast'!$B$1</c15:sqref>
                        </c15:formulaRef>
                      </c:ext>
                    </c:extLst>
                    <c:strCache>
                      <c:ptCount val="1"/>
                      <c:pt idx="0">
                        <c:v>Calls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'AHT Forecast'!$A$2:$A$16</c15:sqref>
                        </c15:formulaRef>
                      </c:ext>
                    </c:extLst>
                    <c:numCache>
                      <c:formatCode>mmm\-yy</c:formatCode>
                      <c:ptCount val="15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'AHT Forecast'!$B$2:$B$16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42000</c:v>
                      </c:pt>
                      <c:pt idx="1">
                        <c:v>45000</c:v>
                      </c:pt>
                      <c:pt idx="2">
                        <c:v>48000</c:v>
                      </c:pt>
                      <c:pt idx="3">
                        <c:v>43000</c:v>
                      </c:pt>
                      <c:pt idx="4">
                        <c:v>47000</c:v>
                      </c:pt>
                      <c:pt idx="5">
                        <c:v>52000</c:v>
                      </c:pt>
                      <c:pt idx="6">
                        <c:v>53000</c:v>
                      </c:pt>
                      <c:pt idx="7">
                        <c:v>51000</c:v>
                      </c:pt>
                      <c:pt idx="8">
                        <c:v>48000</c:v>
                      </c:pt>
                      <c:pt idx="9">
                        <c:v>50000</c:v>
                      </c:pt>
                      <c:pt idx="10">
                        <c:v>55000</c:v>
                      </c:pt>
                      <c:pt idx="11">
                        <c:v>62000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25A-4670-98E3-8E9098EFB62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'AHT Forecast'!$D$1</c15:sqref>
                        </c15:formulaRef>
                      </c:ext>
                    </c:extLst>
                    <c:strCache>
                      <c:ptCount val="1"/>
                      <c:pt idx="0">
                        <c:v>Time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'AHT Forecast'!$A$2:$A$16</c15:sqref>
                        </c15:formulaRef>
                      </c:ext>
                    </c:extLst>
                    <c:numCache>
                      <c:formatCode>mmm\-yy</c:formatCode>
                      <c:ptCount val="15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'AHT Forecast'!$D$2:$D$16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25A-4670-98E3-8E9098EFB62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'AHT Forecast'!$E$1</c15:sqref>
                        </c15:formulaRef>
                      </c:ext>
                    </c:extLst>
                    <c:strCache>
                      <c:ptCount val="1"/>
                      <c:pt idx="0">
                        <c:v>Trend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'AHT Forecast'!$A$2:$A$16</c15:sqref>
                        </c15:formulaRef>
                      </c:ext>
                    </c:extLst>
                    <c:numCache>
                      <c:formatCode>mmm\-yy</c:formatCode>
                      <c:ptCount val="15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'AHT Forecast'!$E$2:$E$16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257.73076923076923</c:v>
                      </c:pt>
                      <c:pt idx="1">
                        <c:v>258.64335664335664</c:v>
                      </c:pt>
                      <c:pt idx="2">
                        <c:v>259.55594405594405</c:v>
                      </c:pt>
                      <c:pt idx="3">
                        <c:v>260.46853146853147</c:v>
                      </c:pt>
                      <c:pt idx="4">
                        <c:v>261.38111888111888</c:v>
                      </c:pt>
                      <c:pt idx="5">
                        <c:v>262.29370629370629</c:v>
                      </c:pt>
                      <c:pt idx="6">
                        <c:v>263.20629370629371</c:v>
                      </c:pt>
                      <c:pt idx="7">
                        <c:v>264.11888111888112</c:v>
                      </c:pt>
                      <c:pt idx="8">
                        <c:v>265.03146853146853</c:v>
                      </c:pt>
                      <c:pt idx="9">
                        <c:v>265.94405594405595</c:v>
                      </c:pt>
                      <c:pt idx="10">
                        <c:v>266.85664335664336</c:v>
                      </c:pt>
                      <c:pt idx="11">
                        <c:v>267.76923076923077</c:v>
                      </c:pt>
                      <c:pt idx="12">
                        <c:v>269.21818181818185</c:v>
                      </c:pt>
                      <c:pt idx="13">
                        <c:v>269.31515151515151</c:v>
                      </c:pt>
                      <c:pt idx="14">
                        <c:v>274.89444444444439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25A-4670-98E3-8E9098EFB62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'AHT Forecast'!$F$1</c15:sqref>
                        </c15:formulaRef>
                      </c:ext>
                    </c:extLst>
                    <c:strCache>
                      <c:ptCount val="1"/>
                      <c:pt idx="0">
                        <c:v>Deasonalized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'AHT Forecast'!$A$2:$A$16</c15:sqref>
                        </c15:formulaRef>
                      </c:ext>
                    </c:extLst>
                    <c:numCache>
                      <c:formatCode>mmm\-yy</c:formatCode>
                      <c:ptCount val="15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'AHT Forecast'!$F$2:$F$16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1.0088046560214894</c:v>
                      </c:pt>
                      <c:pt idx="1">
                        <c:v>0.98591358892553937</c:v>
                      </c:pt>
                      <c:pt idx="2">
                        <c:v>1.0402381690083926</c:v>
                      </c:pt>
                      <c:pt idx="3">
                        <c:v>0.99820119741187208</c:v>
                      </c:pt>
                      <c:pt idx="4">
                        <c:v>0.95645776202260724</c:v>
                      </c:pt>
                      <c:pt idx="5">
                        <c:v>1.0103177988695744</c:v>
                      </c:pt>
                      <c:pt idx="6">
                        <c:v>1.0448078430330645</c:v>
                      </c:pt>
                      <c:pt idx="7">
                        <c:v>0.98440520003177212</c:v>
                      </c:pt>
                      <c:pt idx="8">
                        <c:v>0.94328421219277303</c:v>
                      </c:pt>
                      <c:pt idx="9">
                        <c:v>0.97012884564817248</c:v>
                      </c:pt>
                      <c:pt idx="10">
                        <c:v>1.0117791957652547</c:v>
                      </c:pt>
                      <c:pt idx="11">
                        <c:v>1.0456765297328354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525A-4670-98E3-8E9098EFB62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'AHT Forecast'!$G$1</c15:sqref>
                        </c15:formulaRef>
                      </c:ext>
                    </c:extLst>
                    <c:strCache>
                      <c:ptCount val="1"/>
                      <c:pt idx="0">
                        <c:v>Seasonal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6"/>
                      </a:solidFill>
                      <a:prstDash val="sysDot"/>
                    </a:ln>
                    <a:effectLst/>
                  </c:spPr>
                  <c:trendlineType val="linear"/>
                  <c:forward val="2"/>
                  <c:dispRSqr val="0"/>
                  <c:dispEq val="0"/>
                </c:trendline>
                <c:trendline>
                  <c:spPr>
                    <a:ln w="19050" cap="rnd">
                      <a:solidFill>
                        <a:schemeClr val="accent6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'AHT Forecast'!$A$2:$A$16</c15:sqref>
                        </c15:formulaRef>
                      </c:ext>
                    </c:extLst>
                    <c:numCache>
                      <c:formatCode>mmm\-yy</c:formatCode>
                      <c:ptCount val="15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'AHT Forecast'!$G$2:$G$16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1.0088033951296136</c:v>
                      </c:pt>
                      <c:pt idx="1">
                        <c:v>0.98591235664491195</c:v>
                      </c:pt>
                      <c:pt idx="2">
                        <c:v>1.040236868828176</c:v>
                      </c:pt>
                      <c:pt idx="3">
                        <c:v>0.99819994977312199</c:v>
                      </c:pt>
                      <c:pt idx="4">
                        <c:v>0.95645656655843647</c:v>
                      </c:pt>
                      <c:pt idx="5">
                        <c:v>1.010316536086441</c:v>
                      </c:pt>
                      <c:pt idx="6">
                        <c:v>1.0448065371412716</c:v>
                      </c:pt>
                      <c:pt idx="7">
                        <c:v>0.98440396963646049</c:v>
                      </c:pt>
                      <c:pt idx="8">
                        <c:v>0.9432830331940516</c:v>
                      </c:pt>
                      <c:pt idx="9">
                        <c:v>0.97012763309669126</c:v>
                      </c:pt>
                      <c:pt idx="10">
                        <c:v>1.0117779311555402</c:v>
                      </c:pt>
                      <c:pt idx="11">
                        <c:v>1.0456752227552824</c:v>
                      </c:pt>
                      <c:pt idx="12">
                        <c:v>1.0088033951296136</c:v>
                      </c:pt>
                      <c:pt idx="13">
                        <c:v>0.98591235664491195</c:v>
                      </c:pt>
                      <c:pt idx="14">
                        <c:v>1.040236868828176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525A-4670-98E3-8E9098EFB625}"/>
                  </c:ext>
                </c:extLst>
              </c15:ser>
            </c15:filteredLineSeries>
          </c:ext>
        </c:extLst>
      </c:lineChart>
      <c:dateAx>
        <c:axId val="353759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748671"/>
        <c:crosses val="autoZero"/>
        <c:auto val="1"/>
        <c:lblOffset val="100"/>
        <c:baseTimeUnit val="months"/>
      </c:dateAx>
      <c:valAx>
        <c:axId val="35374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AHT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75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2477</xdr:colOff>
      <xdr:row>4</xdr:row>
      <xdr:rowOff>175260</xdr:rowOff>
    </xdr:from>
    <xdr:to>
      <xdr:col>17</xdr:col>
      <xdr:colOff>135827</xdr:colOff>
      <xdr:row>18</xdr:row>
      <xdr:rowOff>30480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6</xdr:row>
      <xdr:rowOff>556260</xdr:rowOff>
    </xdr:from>
    <xdr:to>
      <xdr:col>16</xdr:col>
      <xdr:colOff>15240</xdr:colOff>
      <xdr:row>21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327660</xdr:colOff>
      <xdr:row>9</xdr:row>
      <xdr:rowOff>7620</xdr:rowOff>
    </xdr:from>
    <xdr:to>
      <xdr:col>16</xdr:col>
      <xdr:colOff>502920</xdr:colOff>
      <xdr:row>21</xdr:row>
      <xdr:rowOff>137160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9</xdr:row>
      <xdr:rowOff>53340</xdr:rowOff>
    </xdr:from>
    <xdr:to>
      <xdr:col>10</xdr:col>
      <xdr:colOff>190500</xdr:colOff>
      <xdr:row>22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259080</xdr:colOff>
      <xdr:row>9</xdr:row>
      <xdr:rowOff>76200</xdr:rowOff>
    </xdr:from>
    <xdr:to>
      <xdr:col>20</xdr:col>
      <xdr:colOff>68580</xdr:colOff>
      <xdr:row>35</xdr:row>
      <xdr:rowOff>45720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403860</xdr:colOff>
      <xdr:row>6</xdr:row>
      <xdr:rowOff>129540</xdr:rowOff>
    </xdr:from>
    <xdr:to>
      <xdr:col>4</xdr:col>
      <xdr:colOff>601980</xdr:colOff>
      <xdr:row>8</xdr:row>
      <xdr:rowOff>167640</xdr:rowOff>
    </xdr:to>
    <xdr:sp macro="" textlink="">
      <xdr:nvSpPr>
        <xdr:cNvPr id="5" name="TextBox 4"/>
        <xdr:cNvSpPr txBox="1"/>
      </xdr:nvSpPr>
      <xdr:spPr>
        <a:xfrm>
          <a:off x="1623060" y="1226820"/>
          <a:ext cx="1417320" cy="403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Shrinkage 33%</a:t>
          </a:r>
        </a:p>
      </xdr:txBody>
    </xdr:sp>
    <xdr:clientData/>
  </xdr:twoCellAnchor>
  <xdr:twoCellAnchor>
    <xdr:from>
      <xdr:col>6</xdr:col>
      <xdr:colOff>99060</xdr:colOff>
      <xdr:row>6</xdr:row>
      <xdr:rowOff>144780</xdr:rowOff>
    </xdr:from>
    <xdr:to>
      <xdr:col>8</xdr:col>
      <xdr:colOff>289560</xdr:colOff>
      <xdr:row>8</xdr:row>
      <xdr:rowOff>160020</xdr:rowOff>
    </xdr:to>
    <xdr:sp macro="" textlink="">
      <xdr:nvSpPr>
        <xdr:cNvPr id="7" name="TextBox 6"/>
        <xdr:cNvSpPr txBox="1"/>
      </xdr:nvSpPr>
      <xdr:spPr>
        <a:xfrm>
          <a:off x="3756660" y="1242060"/>
          <a:ext cx="140970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Adherence  90%</a:t>
          </a:r>
        </a:p>
      </xdr:txBody>
    </xdr:sp>
    <xdr:clientData/>
  </xdr:twoCellAnchor>
  <xdr:twoCellAnchor>
    <xdr:from>
      <xdr:col>0</xdr:col>
      <xdr:colOff>228600</xdr:colOff>
      <xdr:row>2</xdr:row>
      <xdr:rowOff>53340</xdr:rowOff>
    </xdr:from>
    <xdr:to>
      <xdr:col>18</xdr:col>
      <xdr:colOff>274320</xdr:colOff>
      <xdr:row>5</xdr:row>
      <xdr:rowOff>129540</xdr:rowOff>
    </xdr:to>
    <xdr:sp macro="" textlink="">
      <xdr:nvSpPr>
        <xdr:cNvPr id="9" name="TextBox 8"/>
        <xdr:cNvSpPr txBox="1"/>
      </xdr:nvSpPr>
      <xdr:spPr>
        <a:xfrm>
          <a:off x="228600" y="419100"/>
          <a:ext cx="11018520" cy="624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4000">
              <a:solidFill>
                <a:srgbClr val="0070C0"/>
              </a:solidFill>
            </a:rPr>
            <a:t>           WFM Forecasting</a:t>
          </a:r>
        </a:p>
      </xdr:txBody>
    </xdr:sp>
    <xdr:clientData/>
  </xdr:twoCellAnchor>
  <xdr:twoCellAnchor>
    <xdr:from>
      <xdr:col>0</xdr:col>
      <xdr:colOff>137160</xdr:colOff>
      <xdr:row>21</xdr:row>
      <xdr:rowOff>160020</xdr:rowOff>
    </xdr:from>
    <xdr:to>
      <xdr:col>10</xdr:col>
      <xdr:colOff>198120</xdr:colOff>
      <xdr:row>35</xdr:row>
      <xdr:rowOff>15240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sqref="A1:A14"/>
    </sheetView>
  </sheetViews>
  <sheetFormatPr defaultRowHeight="14.4" x14ac:dyDescent="0.3"/>
  <sheetData>
    <row r="1" spans="1:7" ht="28.8" x14ac:dyDescent="0.3">
      <c r="A1" s="1" t="s">
        <v>0</v>
      </c>
      <c r="B1" s="1" t="s">
        <v>22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2" t="s">
        <v>6</v>
      </c>
      <c r="B2" s="2" t="str">
        <f>A2&amp; " "&amp;C2</f>
        <v>Jan 2023</v>
      </c>
      <c r="C2" s="2">
        <v>2023</v>
      </c>
      <c r="D2" s="2">
        <v>42000</v>
      </c>
      <c r="E2" s="2">
        <v>260</v>
      </c>
      <c r="F2" s="3">
        <v>0.32</v>
      </c>
      <c r="G2" s="3">
        <v>0.92</v>
      </c>
    </row>
    <row r="3" spans="1:7" x14ac:dyDescent="0.3">
      <c r="A3" s="2" t="s">
        <v>7</v>
      </c>
      <c r="B3" s="2" t="str">
        <f t="shared" ref="B3:B13" si="0">A3&amp; " " &amp;C3</f>
        <v>Feb 2023</v>
      </c>
      <c r="C3" s="2">
        <v>2023</v>
      </c>
      <c r="D3" s="2">
        <v>45000</v>
      </c>
      <c r="E3" s="2">
        <v>255</v>
      </c>
      <c r="F3" s="3">
        <v>0.33</v>
      </c>
      <c r="G3" s="3">
        <v>0.91</v>
      </c>
    </row>
    <row r="4" spans="1:7" x14ac:dyDescent="0.3">
      <c r="A4" s="2" t="s">
        <v>8</v>
      </c>
      <c r="B4" s="2" t="str">
        <f t="shared" si="0"/>
        <v>Mar 2023</v>
      </c>
      <c r="C4" s="2">
        <v>2023</v>
      </c>
      <c r="D4" s="2">
        <v>48000</v>
      </c>
      <c r="E4" s="2">
        <v>270</v>
      </c>
      <c r="F4" s="3">
        <v>0.34</v>
      </c>
      <c r="G4" s="3">
        <v>0.9</v>
      </c>
    </row>
    <row r="5" spans="1:7" x14ac:dyDescent="0.3">
      <c r="A5" s="2" t="s">
        <v>9</v>
      </c>
      <c r="B5" s="2" t="str">
        <f t="shared" si="0"/>
        <v>Apr 2023</v>
      </c>
      <c r="C5" s="2">
        <v>2023</v>
      </c>
      <c r="D5" s="2">
        <v>43000</v>
      </c>
      <c r="E5" s="2">
        <v>260</v>
      </c>
      <c r="F5" s="3">
        <v>0.32</v>
      </c>
      <c r="G5" s="3">
        <v>0.93</v>
      </c>
    </row>
    <row r="6" spans="1:7" x14ac:dyDescent="0.3">
      <c r="A6" s="2" t="s">
        <v>10</v>
      </c>
      <c r="B6" s="2" t="str">
        <f t="shared" si="0"/>
        <v>May 2023</v>
      </c>
      <c r="C6" s="2">
        <v>2023</v>
      </c>
      <c r="D6" s="2">
        <v>47000</v>
      </c>
      <c r="E6" s="2">
        <v>250</v>
      </c>
      <c r="F6" s="3">
        <v>0.31</v>
      </c>
      <c r="G6" s="3">
        <v>0.92</v>
      </c>
    </row>
    <row r="7" spans="1:7" x14ac:dyDescent="0.3">
      <c r="A7" s="2" t="s">
        <v>11</v>
      </c>
      <c r="B7" s="2" t="str">
        <f t="shared" si="0"/>
        <v>Jun 2023</v>
      </c>
      <c r="C7" s="2">
        <v>2023</v>
      </c>
      <c r="D7" s="2">
        <v>52000</v>
      </c>
      <c r="E7" s="2">
        <v>265</v>
      </c>
      <c r="F7" s="3">
        <v>0.35</v>
      </c>
      <c r="G7" s="3">
        <v>0.88</v>
      </c>
    </row>
    <row r="8" spans="1:7" x14ac:dyDescent="0.3">
      <c r="A8" s="2" t="s">
        <v>12</v>
      </c>
      <c r="B8" s="2" t="str">
        <f t="shared" si="0"/>
        <v>Jul 2023</v>
      </c>
      <c r="C8" s="2">
        <v>2023</v>
      </c>
      <c r="D8" s="2">
        <v>53000</v>
      </c>
      <c r="E8" s="2">
        <v>275</v>
      </c>
      <c r="F8" s="3">
        <v>0.36</v>
      </c>
      <c r="G8" s="3">
        <v>0.89</v>
      </c>
    </row>
    <row r="9" spans="1:7" x14ac:dyDescent="0.3">
      <c r="A9" s="2" t="s">
        <v>13</v>
      </c>
      <c r="B9" s="2" t="str">
        <f t="shared" si="0"/>
        <v>Aug 2023</v>
      </c>
      <c r="C9" s="2">
        <v>2023</v>
      </c>
      <c r="D9" s="2">
        <v>51000</v>
      </c>
      <c r="E9" s="2">
        <v>260</v>
      </c>
      <c r="F9" s="3">
        <v>0.32</v>
      </c>
      <c r="G9" s="3">
        <v>0.91</v>
      </c>
    </row>
    <row r="10" spans="1:7" x14ac:dyDescent="0.3">
      <c r="A10" s="2" t="s">
        <v>14</v>
      </c>
      <c r="B10" s="2" t="str">
        <f t="shared" si="0"/>
        <v>Sep 2023</v>
      </c>
      <c r="C10" s="2">
        <v>2023</v>
      </c>
      <c r="D10" s="2">
        <v>48000</v>
      </c>
      <c r="E10" s="2">
        <v>250</v>
      </c>
      <c r="F10" s="3">
        <v>0.3</v>
      </c>
      <c r="G10" s="3">
        <v>0.92</v>
      </c>
    </row>
    <row r="11" spans="1:7" x14ac:dyDescent="0.3">
      <c r="A11" s="2" t="s">
        <v>15</v>
      </c>
      <c r="B11" s="2" t="str">
        <f t="shared" si="0"/>
        <v>Oct 2023</v>
      </c>
      <c r="C11" s="2">
        <v>2023</v>
      </c>
      <c r="D11" s="2">
        <v>50000</v>
      </c>
      <c r="E11" s="2">
        <v>258</v>
      </c>
      <c r="F11" s="3">
        <v>0.33</v>
      </c>
      <c r="G11" s="3">
        <v>0.9</v>
      </c>
    </row>
    <row r="12" spans="1:7" x14ac:dyDescent="0.3">
      <c r="A12" s="2" t="s">
        <v>16</v>
      </c>
      <c r="B12" s="2" t="str">
        <f t="shared" si="0"/>
        <v>Nov 2023</v>
      </c>
      <c r="C12" s="2">
        <v>2023</v>
      </c>
      <c r="D12" s="2">
        <v>55000</v>
      </c>
      <c r="E12" s="2">
        <v>270</v>
      </c>
      <c r="F12" s="3">
        <v>0.34</v>
      </c>
      <c r="G12" s="3">
        <v>0.88</v>
      </c>
    </row>
    <row r="13" spans="1:7" x14ac:dyDescent="0.3">
      <c r="A13" s="2" t="s">
        <v>17</v>
      </c>
      <c r="B13" s="2" t="str">
        <f t="shared" si="0"/>
        <v>Dec 2023</v>
      </c>
      <c r="C13" s="2">
        <v>2023</v>
      </c>
      <c r="D13" s="2">
        <v>62000</v>
      </c>
      <c r="E13" s="2">
        <v>280</v>
      </c>
      <c r="F13" s="3">
        <v>0.35</v>
      </c>
      <c r="G13" s="3">
        <v>0.87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C15" sqref="C15"/>
    </sheetView>
  </sheetViews>
  <sheetFormatPr defaultRowHeight="14.4" x14ac:dyDescent="0.3"/>
  <sheetData>
    <row r="1" spans="1:5" ht="28.8" x14ac:dyDescent="0.3">
      <c r="A1" s="1" t="s">
        <v>22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">
      <c r="A2" s="8">
        <v>44927</v>
      </c>
      <c r="B2" s="2">
        <v>42000</v>
      </c>
      <c r="C2" s="2">
        <v>260</v>
      </c>
      <c r="D2" s="3">
        <v>0.32</v>
      </c>
      <c r="E2" s="3">
        <v>0.92</v>
      </c>
    </row>
    <row r="3" spans="1:5" x14ac:dyDescent="0.3">
      <c r="A3" s="8">
        <v>44958</v>
      </c>
      <c r="B3" s="2">
        <v>45000</v>
      </c>
      <c r="C3" s="2">
        <v>255</v>
      </c>
      <c r="D3" s="3">
        <v>0.33</v>
      </c>
      <c r="E3" s="3">
        <v>0.91</v>
      </c>
    </row>
    <row r="4" spans="1:5" x14ac:dyDescent="0.3">
      <c r="A4" s="8">
        <v>44986</v>
      </c>
      <c r="B4" s="2">
        <v>48000</v>
      </c>
      <c r="C4" s="2">
        <v>270</v>
      </c>
      <c r="D4" s="3">
        <v>0.34</v>
      </c>
      <c r="E4" s="3">
        <v>0.9</v>
      </c>
    </row>
    <row r="5" spans="1:5" x14ac:dyDescent="0.3">
      <c r="A5" s="8">
        <v>45017</v>
      </c>
      <c r="B5" s="2">
        <v>43000</v>
      </c>
      <c r="C5" s="2">
        <v>260</v>
      </c>
      <c r="D5" s="3">
        <v>0.32</v>
      </c>
      <c r="E5" s="3">
        <v>0.93</v>
      </c>
    </row>
    <row r="6" spans="1:5" x14ac:dyDescent="0.3">
      <c r="A6" s="8">
        <v>45047</v>
      </c>
      <c r="B6" s="2">
        <v>47000</v>
      </c>
      <c r="C6" s="2">
        <v>250</v>
      </c>
      <c r="D6" s="3">
        <v>0.31</v>
      </c>
      <c r="E6" s="3">
        <v>0.92</v>
      </c>
    </row>
    <row r="7" spans="1:5" x14ac:dyDescent="0.3">
      <c r="A7" s="8">
        <v>45078</v>
      </c>
      <c r="B7" s="2">
        <v>52000</v>
      </c>
      <c r="C7" s="2">
        <v>265</v>
      </c>
      <c r="D7" s="3">
        <v>0.35</v>
      </c>
      <c r="E7" s="3">
        <v>0.88</v>
      </c>
    </row>
    <row r="8" spans="1:5" x14ac:dyDescent="0.3">
      <c r="A8" s="8">
        <v>45108</v>
      </c>
      <c r="B8" s="2">
        <v>53000</v>
      </c>
      <c r="C8" s="2">
        <v>275</v>
      </c>
      <c r="D8" s="3">
        <v>0.36</v>
      </c>
      <c r="E8" s="3">
        <v>0.89</v>
      </c>
    </row>
    <row r="9" spans="1:5" x14ac:dyDescent="0.3">
      <c r="A9" s="8">
        <v>45139</v>
      </c>
      <c r="B9" s="2">
        <v>51000</v>
      </c>
      <c r="C9" s="2">
        <v>260</v>
      </c>
      <c r="D9" s="3">
        <v>0.32</v>
      </c>
      <c r="E9" s="3">
        <v>0.91</v>
      </c>
    </row>
    <row r="10" spans="1:5" x14ac:dyDescent="0.3">
      <c r="A10" s="8">
        <v>45170</v>
      </c>
      <c r="B10" s="2">
        <v>48000</v>
      </c>
      <c r="C10" s="2">
        <v>250</v>
      </c>
      <c r="D10" s="3">
        <v>0.3</v>
      </c>
      <c r="E10" s="3">
        <v>0.92</v>
      </c>
    </row>
    <row r="11" spans="1:5" x14ac:dyDescent="0.3">
      <c r="A11" s="8">
        <v>45200</v>
      </c>
      <c r="B11" s="2">
        <v>50000</v>
      </c>
      <c r="C11" s="2">
        <v>258</v>
      </c>
      <c r="D11" s="3">
        <v>0.33</v>
      </c>
      <c r="E11" s="3">
        <v>0.9</v>
      </c>
    </row>
    <row r="12" spans="1:5" x14ac:dyDescent="0.3">
      <c r="A12" s="8">
        <v>45231</v>
      </c>
      <c r="B12" s="2">
        <v>55000</v>
      </c>
      <c r="C12" s="2">
        <v>270</v>
      </c>
      <c r="D12" s="3">
        <v>0.34</v>
      </c>
      <c r="E12" s="3">
        <v>0.88</v>
      </c>
    </row>
    <row r="13" spans="1:5" x14ac:dyDescent="0.3">
      <c r="A13" s="8">
        <v>45261</v>
      </c>
      <c r="B13" s="2">
        <v>62000</v>
      </c>
      <c r="C13" s="2">
        <v>280</v>
      </c>
      <c r="D13" s="3">
        <v>0.35</v>
      </c>
      <c r="E13" s="3">
        <v>0.87</v>
      </c>
    </row>
    <row r="14" spans="1:5" x14ac:dyDescent="0.3">
      <c r="A14" s="8"/>
    </row>
    <row r="15" spans="1:5" x14ac:dyDescent="0.3">
      <c r="A15" s="8"/>
      <c r="C15" t="s">
        <v>28</v>
      </c>
      <c r="D15" s="10">
        <f>AVERAGE(D2:D13)</f>
        <v>0.33083333333333331</v>
      </c>
      <c r="E15" s="10">
        <f>AVERAGE(E2:E13)</f>
        <v>0.90249999999999997</v>
      </c>
    </row>
    <row r="16" spans="1:5" x14ac:dyDescent="0.3">
      <c r="A1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A2" sqref="A2:A16"/>
    </sheetView>
  </sheetViews>
  <sheetFormatPr defaultRowHeight="14.4" x14ac:dyDescent="0.3"/>
  <sheetData>
    <row r="1" spans="1:4" ht="28.8" x14ac:dyDescent="0.3">
      <c r="A1" s="1" t="s">
        <v>22</v>
      </c>
      <c r="B1" s="1" t="s">
        <v>2</v>
      </c>
      <c r="C1" s="1" t="s">
        <v>18</v>
      </c>
      <c r="D1" s="1" t="s">
        <v>19</v>
      </c>
    </row>
    <row r="2" spans="1:4" x14ac:dyDescent="0.3">
      <c r="A2" s="8">
        <v>44927</v>
      </c>
      <c r="B2" s="2">
        <v>42000</v>
      </c>
    </row>
    <row r="3" spans="1:4" x14ac:dyDescent="0.3">
      <c r="A3" s="8">
        <v>44958</v>
      </c>
      <c r="B3" s="2">
        <v>45000</v>
      </c>
    </row>
    <row r="4" spans="1:4" x14ac:dyDescent="0.3">
      <c r="A4" s="8">
        <v>44986</v>
      </c>
      <c r="B4" s="2">
        <v>48000</v>
      </c>
    </row>
    <row r="5" spans="1:4" x14ac:dyDescent="0.3">
      <c r="A5" s="8">
        <v>45017</v>
      </c>
      <c r="B5" s="2">
        <v>43000</v>
      </c>
      <c r="C5" s="4">
        <f>AVERAGE(B2:B4)</f>
        <v>45000</v>
      </c>
      <c r="D5" s="4">
        <f>C5</f>
        <v>45000</v>
      </c>
    </row>
    <row r="6" spans="1:4" x14ac:dyDescent="0.3">
      <c r="A6" s="8">
        <v>45047</v>
      </c>
      <c r="B6" s="2">
        <v>47000</v>
      </c>
      <c r="C6" s="4">
        <f t="shared" ref="C6:C14" si="0">AVERAGE(B3:B5)</f>
        <v>45333.333333333336</v>
      </c>
      <c r="D6" s="4">
        <f t="shared" ref="D6:D16" si="1">C6</f>
        <v>45333.333333333336</v>
      </c>
    </row>
    <row r="7" spans="1:4" x14ac:dyDescent="0.3">
      <c r="A7" s="8">
        <v>45078</v>
      </c>
      <c r="B7" s="2">
        <v>52000</v>
      </c>
      <c r="C7" s="4">
        <f t="shared" si="0"/>
        <v>46000</v>
      </c>
      <c r="D7" s="4">
        <f t="shared" si="1"/>
        <v>46000</v>
      </c>
    </row>
    <row r="8" spans="1:4" x14ac:dyDescent="0.3">
      <c r="A8" s="8">
        <v>45108</v>
      </c>
      <c r="B8" s="2">
        <v>53000</v>
      </c>
      <c r="C8" s="4">
        <f t="shared" si="0"/>
        <v>47333.333333333336</v>
      </c>
      <c r="D8" s="4">
        <f t="shared" si="1"/>
        <v>47333.333333333336</v>
      </c>
    </row>
    <row r="9" spans="1:4" x14ac:dyDescent="0.3">
      <c r="A9" s="8">
        <v>45139</v>
      </c>
      <c r="B9" s="2">
        <v>51000</v>
      </c>
      <c r="C9" s="4">
        <f t="shared" si="0"/>
        <v>50666.666666666664</v>
      </c>
      <c r="D9" s="4">
        <f t="shared" si="1"/>
        <v>50666.666666666664</v>
      </c>
    </row>
    <row r="10" spans="1:4" x14ac:dyDescent="0.3">
      <c r="A10" s="8">
        <v>45170</v>
      </c>
      <c r="B10" s="2">
        <v>48000</v>
      </c>
      <c r="C10" s="4">
        <f t="shared" si="0"/>
        <v>52000</v>
      </c>
      <c r="D10" s="4">
        <f t="shared" si="1"/>
        <v>52000</v>
      </c>
    </row>
    <row r="11" spans="1:4" x14ac:dyDescent="0.3">
      <c r="A11" s="8">
        <v>45200</v>
      </c>
      <c r="B11" s="2">
        <v>50000</v>
      </c>
      <c r="C11" s="4">
        <f t="shared" si="0"/>
        <v>50666.666666666664</v>
      </c>
      <c r="D11" s="4">
        <f t="shared" si="1"/>
        <v>50666.666666666664</v>
      </c>
    </row>
    <row r="12" spans="1:4" x14ac:dyDescent="0.3">
      <c r="A12" s="8">
        <v>45231</v>
      </c>
      <c r="B12" s="2">
        <v>55000</v>
      </c>
      <c r="C12" s="4">
        <f t="shared" si="0"/>
        <v>49666.666666666664</v>
      </c>
      <c r="D12" s="4">
        <f t="shared" si="1"/>
        <v>49666.666666666664</v>
      </c>
    </row>
    <row r="13" spans="1:4" x14ac:dyDescent="0.3">
      <c r="A13" s="8">
        <v>45261</v>
      </c>
      <c r="B13" s="2">
        <v>62000</v>
      </c>
      <c r="C13" s="4">
        <f t="shared" si="0"/>
        <v>51000</v>
      </c>
      <c r="D13" s="4">
        <f t="shared" si="1"/>
        <v>51000</v>
      </c>
    </row>
    <row r="14" spans="1:4" x14ac:dyDescent="0.3">
      <c r="A14" s="8">
        <v>45292</v>
      </c>
      <c r="C14" s="4">
        <f t="shared" si="0"/>
        <v>55666.666666666664</v>
      </c>
      <c r="D14" s="4">
        <f t="shared" si="1"/>
        <v>55666.666666666664</v>
      </c>
    </row>
    <row r="15" spans="1:4" x14ac:dyDescent="0.3">
      <c r="A15" s="8">
        <v>45323</v>
      </c>
      <c r="C15" s="4">
        <f xml:space="preserve">   AVERAGE(C13:C14)</f>
        <v>53333.333333333328</v>
      </c>
      <c r="D15" s="4">
        <f t="shared" si="1"/>
        <v>53333.333333333328</v>
      </c>
    </row>
    <row r="16" spans="1:4" x14ac:dyDescent="0.3">
      <c r="A16" s="8">
        <v>45352</v>
      </c>
      <c r="C16" s="4">
        <f>AVERAGE(C14:C15)</f>
        <v>54500</v>
      </c>
      <c r="D16" s="4">
        <f t="shared" si="1"/>
        <v>54500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E4"/>
    </sheetView>
  </sheetViews>
  <sheetFormatPr defaultRowHeight="14.4" x14ac:dyDescent="0.3"/>
  <cols>
    <col min="4" max="4" width="11.109375" customWidth="1"/>
    <col min="6" max="6" width="12.21875" customWidth="1"/>
    <col min="7" max="7" width="10.33203125" customWidth="1"/>
  </cols>
  <sheetData>
    <row r="1" spans="1:7" ht="28.8" x14ac:dyDescent="0.3">
      <c r="A1" s="1" t="s">
        <v>22</v>
      </c>
      <c r="B1" s="1" t="s">
        <v>30</v>
      </c>
      <c r="C1" s="1" t="s">
        <v>29</v>
      </c>
      <c r="D1" s="1" t="s">
        <v>32</v>
      </c>
      <c r="E1" s="1" t="s">
        <v>31</v>
      </c>
      <c r="F1" s="1"/>
      <c r="G1" s="1"/>
    </row>
    <row r="2" spans="1:7" x14ac:dyDescent="0.3">
      <c r="A2" s="9">
        <v>45292</v>
      </c>
      <c r="B2">
        <f>'Call Volume  Forecast II'!G14</f>
        <v>56933.529067406176</v>
      </c>
      <c r="C2" s="4">
        <v>271.58821584880343</v>
      </c>
      <c r="D2">
        <f>B2*C2/3600</f>
        <v>4295.1321059424536</v>
      </c>
      <c r="E2">
        <f>D2/D11</f>
        <v>890.36735197812061</v>
      </c>
    </row>
    <row r="3" spans="1:7" x14ac:dyDescent="0.3">
      <c r="A3" s="9">
        <v>45323</v>
      </c>
      <c r="B3">
        <f>'Call Volume  Forecast II'!G15</f>
        <v>60539.529498237956</v>
      </c>
      <c r="C3" s="4">
        <v>266</v>
      </c>
      <c r="D3">
        <f t="shared" ref="D3:D4" si="0">B3*C3/3600</f>
        <v>4473.198568480916</v>
      </c>
      <c r="E3">
        <f>D3/D11</f>
        <v>927.27996859057134</v>
      </c>
    </row>
    <row r="4" spans="1:7" x14ac:dyDescent="0.3">
      <c r="A4" s="9">
        <v>45352</v>
      </c>
      <c r="B4">
        <f>'Call Volume  Forecast II'!G16</f>
        <v>59423.002727833496</v>
      </c>
      <c r="C4" s="4">
        <v>286</v>
      </c>
      <c r="D4">
        <f t="shared" si="0"/>
        <v>4720.8274389334383</v>
      </c>
      <c r="E4">
        <f>D4/D11</f>
        <v>978.61265317857351</v>
      </c>
    </row>
    <row r="8" spans="1:7" x14ac:dyDescent="0.3">
      <c r="B8" t="s">
        <v>33</v>
      </c>
      <c r="D8" s="10">
        <v>0.33</v>
      </c>
    </row>
    <row r="9" spans="1:7" x14ac:dyDescent="0.3">
      <c r="B9" t="s">
        <v>34</v>
      </c>
      <c r="D9" s="10">
        <v>0.9</v>
      </c>
    </row>
    <row r="11" spans="1:7" x14ac:dyDescent="0.3">
      <c r="B11" t="s">
        <v>35</v>
      </c>
      <c r="D11">
        <f>8*(1-33/100)*90/100</f>
        <v>4.8239999999999998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S18" sqref="S18"/>
    </sheetView>
  </sheetViews>
  <sheetFormatPr defaultRowHeight="14.4" x14ac:dyDescent="0.3"/>
  <cols>
    <col min="4" max="4" width="10.5546875" customWidth="1"/>
    <col min="6" max="6" width="10.5546875" customWidth="1"/>
    <col min="8" max="8" width="10.6640625" customWidth="1"/>
  </cols>
  <sheetData>
    <row r="1" spans="1:8" ht="28.8" x14ac:dyDescent="0.3">
      <c r="A1" s="1" t="s">
        <v>22</v>
      </c>
      <c r="B1" s="1" t="s">
        <v>2</v>
      </c>
      <c r="C1" s="1" t="s">
        <v>3</v>
      </c>
      <c r="D1" s="1" t="s">
        <v>20</v>
      </c>
      <c r="E1" s="1" t="s">
        <v>21</v>
      </c>
      <c r="F1" s="1" t="s">
        <v>27</v>
      </c>
      <c r="G1" s="1" t="s">
        <v>23</v>
      </c>
      <c r="H1" s="1" t="s">
        <v>29</v>
      </c>
    </row>
    <row r="2" spans="1:8" x14ac:dyDescent="0.3">
      <c r="A2" s="8">
        <v>44927</v>
      </c>
      <c r="B2" s="2">
        <v>42000</v>
      </c>
      <c r="C2" s="2">
        <v>260</v>
      </c>
      <c r="D2">
        <v>1</v>
      </c>
      <c r="E2">
        <f>_xlfn.FORECAST.LINEAR(D2,C2:C13,D2:D13)</f>
        <v>257.73076923076923</v>
      </c>
      <c r="F2">
        <f>C2/E2</f>
        <v>1.0088046560214894</v>
      </c>
      <c r="G2">
        <f>F2/F21</f>
        <v>1.0088033951296136</v>
      </c>
      <c r="H2" s="4"/>
    </row>
    <row r="3" spans="1:8" x14ac:dyDescent="0.3">
      <c r="A3" s="8">
        <v>44958</v>
      </c>
      <c r="B3" s="2">
        <v>45000</v>
      </c>
      <c r="C3" s="2">
        <v>255</v>
      </c>
      <c r="D3">
        <v>2</v>
      </c>
      <c r="E3">
        <f>_xlfn.FORECAST.LINEAR(D3,C2:C14,D2:D14)</f>
        <v>258.64335664335664</v>
      </c>
      <c r="F3">
        <f>C3/E3</f>
        <v>0.98591358892553937</v>
      </c>
      <c r="G3">
        <f>F3/F21</f>
        <v>0.98591235664491195</v>
      </c>
      <c r="H3" s="4"/>
    </row>
    <row r="4" spans="1:8" x14ac:dyDescent="0.3">
      <c r="A4" s="8">
        <v>44986</v>
      </c>
      <c r="B4" s="2">
        <v>48000</v>
      </c>
      <c r="C4" s="2">
        <v>270</v>
      </c>
      <c r="D4">
        <v>3</v>
      </c>
      <c r="E4">
        <f>_xlfn.FORECAST.LINEAR(D4,C2:C13,D2:D13)</f>
        <v>259.55594405594405</v>
      </c>
      <c r="F4">
        <f>C4/E4</f>
        <v>1.0402381690083926</v>
      </c>
      <c r="G4">
        <f>F4/F21</f>
        <v>1.040236868828176</v>
      </c>
      <c r="H4" s="4"/>
    </row>
    <row r="5" spans="1:8" x14ac:dyDescent="0.3">
      <c r="A5" s="8">
        <v>45017</v>
      </c>
      <c r="B5" s="2">
        <v>43000</v>
      </c>
      <c r="C5" s="2">
        <v>260</v>
      </c>
      <c r="D5">
        <v>4</v>
      </c>
      <c r="E5">
        <f>_xlfn.FORECAST.LINEAR(D5,C2:C13,D2:D13)</f>
        <v>260.46853146853147</v>
      </c>
      <c r="F5">
        <f>C5/E5</f>
        <v>0.99820119741187208</v>
      </c>
      <c r="G5">
        <f>F5/F21</f>
        <v>0.99819994977312199</v>
      </c>
      <c r="H5" s="4"/>
    </row>
    <row r="6" spans="1:8" x14ac:dyDescent="0.3">
      <c r="A6" s="8">
        <v>45047</v>
      </c>
      <c r="B6" s="2">
        <v>47000</v>
      </c>
      <c r="C6" s="2">
        <v>250</v>
      </c>
      <c r="D6">
        <v>5</v>
      </c>
      <c r="E6">
        <f>_xlfn.FORECAST.LINEAR(D6,C2:C13,D2:D13)</f>
        <v>261.38111888111888</v>
      </c>
      <c r="F6">
        <f>C6/E6</f>
        <v>0.95645776202260724</v>
      </c>
      <c r="G6">
        <f>F6/F21</f>
        <v>0.95645656655843647</v>
      </c>
      <c r="H6" s="4"/>
    </row>
    <row r="7" spans="1:8" x14ac:dyDescent="0.3">
      <c r="A7" s="8">
        <v>45078</v>
      </c>
      <c r="B7" s="2">
        <v>52000</v>
      </c>
      <c r="C7" s="2">
        <v>265</v>
      </c>
      <c r="D7">
        <v>6</v>
      </c>
      <c r="E7">
        <f>_xlfn.FORECAST.LINEAR(D7,C2:C13,D2:D13)</f>
        <v>262.29370629370629</v>
      </c>
      <c r="F7">
        <f>C7/E7</f>
        <v>1.0103177988695744</v>
      </c>
      <c r="G7">
        <f>F7/F21</f>
        <v>1.010316536086441</v>
      </c>
      <c r="H7" s="4"/>
    </row>
    <row r="8" spans="1:8" x14ac:dyDescent="0.3">
      <c r="A8" s="8">
        <v>45108</v>
      </c>
      <c r="B8" s="2">
        <v>53000</v>
      </c>
      <c r="C8" s="2">
        <v>275</v>
      </c>
      <c r="D8">
        <v>7</v>
      </c>
      <c r="E8">
        <f>_xlfn.FORECAST.LINEAR(D8,C2:C13,D2:D13)</f>
        <v>263.20629370629371</v>
      </c>
      <c r="F8">
        <f>C8/E8</f>
        <v>1.0448078430330645</v>
      </c>
      <c r="G8">
        <f>F8/F21</f>
        <v>1.0448065371412716</v>
      </c>
      <c r="H8" s="4"/>
    </row>
    <row r="9" spans="1:8" x14ac:dyDescent="0.3">
      <c r="A9" s="8">
        <v>45139</v>
      </c>
      <c r="B9" s="2">
        <v>51000</v>
      </c>
      <c r="C9" s="2">
        <v>260</v>
      </c>
      <c r="D9">
        <v>8</v>
      </c>
      <c r="E9">
        <f>_xlfn.FORECAST.LINEAR(D9,C2:C13,D2:D13)</f>
        <v>264.11888111888112</v>
      </c>
      <c r="F9">
        <f>C9/E9</f>
        <v>0.98440520003177212</v>
      </c>
      <c r="G9">
        <f>F9/F21</f>
        <v>0.98440396963646049</v>
      </c>
      <c r="H9" s="4"/>
    </row>
    <row r="10" spans="1:8" x14ac:dyDescent="0.3">
      <c r="A10" s="8">
        <v>45170</v>
      </c>
      <c r="B10" s="2">
        <v>48000</v>
      </c>
      <c r="C10" s="2">
        <v>250</v>
      </c>
      <c r="D10">
        <v>9</v>
      </c>
      <c r="E10">
        <f>_xlfn.FORECAST.LINEAR(D10,C2:C13,D2:D13)</f>
        <v>265.03146853146853</v>
      </c>
      <c r="F10">
        <f>C10/E10</f>
        <v>0.94328421219277303</v>
      </c>
      <c r="G10">
        <f>F10/F21</f>
        <v>0.9432830331940516</v>
      </c>
      <c r="H10" s="4"/>
    </row>
    <row r="11" spans="1:8" x14ac:dyDescent="0.3">
      <c r="A11" s="8">
        <v>45200</v>
      </c>
      <c r="B11" s="2">
        <v>50000</v>
      </c>
      <c r="C11" s="2">
        <v>258</v>
      </c>
      <c r="D11">
        <v>10</v>
      </c>
      <c r="E11">
        <f>_xlfn.FORECAST.LINEAR(D11,C2:C13,D2:D13)</f>
        <v>265.94405594405595</v>
      </c>
      <c r="F11">
        <f>C11/E11</f>
        <v>0.97012884564817248</v>
      </c>
      <c r="G11">
        <f>F11/F21</f>
        <v>0.97012763309669126</v>
      </c>
      <c r="H11" s="4"/>
    </row>
    <row r="12" spans="1:8" x14ac:dyDescent="0.3">
      <c r="A12" s="8">
        <v>45231</v>
      </c>
      <c r="B12" s="2">
        <v>55000</v>
      </c>
      <c r="C12" s="2">
        <v>270</v>
      </c>
      <c r="D12">
        <v>11</v>
      </c>
      <c r="E12">
        <f>_xlfn.FORECAST.LINEAR(D12,C2:C13,D2:D13)</f>
        <v>266.85664335664336</v>
      </c>
      <c r="F12">
        <f>C12/E12</f>
        <v>1.0117791957652547</v>
      </c>
      <c r="G12">
        <f>F12/F21</f>
        <v>1.0117779311555402</v>
      </c>
      <c r="H12" s="4"/>
    </row>
    <row r="13" spans="1:8" x14ac:dyDescent="0.3">
      <c r="A13" s="8">
        <v>45261</v>
      </c>
      <c r="B13" s="2">
        <v>62000</v>
      </c>
      <c r="C13" s="2">
        <v>280</v>
      </c>
      <c r="D13">
        <v>12</v>
      </c>
      <c r="E13">
        <f>_xlfn.FORECAST.LINEAR(D13,C2:C13,D2:D13)</f>
        <v>267.76923076923077</v>
      </c>
      <c r="F13">
        <f>C13/E13</f>
        <v>1.0456765297328354</v>
      </c>
      <c r="G13">
        <f>F13/F21</f>
        <v>1.0456752227552824</v>
      </c>
      <c r="H13" s="4"/>
    </row>
    <row r="14" spans="1:8" x14ac:dyDescent="0.3">
      <c r="A14" s="8">
        <v>45292</v>
      </c>
      <c r="D14">
        <v>13</v>
      </c>
      <c r="E14">
        <f>_xlfn.FORECAST.LINEAR(D14,C3:C14,D3:D14)</f>
        <v>269.21818181818185</v>
      </c>
      <c r="G14">
        <f>IF(F14=" ",G14,F2/F21)</f>
        <v>1.0088033951296136</v>
      </c>
      <c r="H14" s="4">
        <f t="shared" ref="H3:H16" si="0">E14*G14</f>
        <v>271.58821584880343</v>
      </c>
    </row>
    <row r="15" spans="1:8" x14ac:dyDescent="0.3">
      <c r="A15" s="8">
        <v>45323</v>
      </c>
      <c r="D15">
        <v>14</v>
      </c>
      <c r="E15">
        <f>_xlfn.FORECAST.LINEAR(D15,C4:C15,D4:D15)</f>
        <v>269.31515151515151</v>
      </c>
      <c r="G15">
        <f>IF(F15=" ",G15,F3/F21)</f>
        <v>0.98591235664491195</v>
      </c>
      <c r="H15" s="4">
        <f t="shared" si="0"/>
        <v>265.52113571048454</v>
      </c>
    </row>
    <row r="16" spans="1:8" x14ac:dyDescent="0.3">
      <c r="A16" s="8">
        <v>45352</v>
      </c>
      <c r="D16">
        <v>15</v>
      </c>
      <c r="E16">
        <f>_xlfn.FORECAST.LINEAR(D16,C5:C16,D5:D16)</f>
        <v>274.89444444444439</v>
      </c>
      <c r="G16">
        <f>IF(F16=" ",G16,F4/F21)</f>
        <v>1.040236868828176</v>
      </c>
      <c r="H16" s="4">
        <f t="shared" si="0"/>
        <v>285.95533614714981</v>
      </c>
    </row>
    <row r="21" spans="5:6" x14ac:dyDescent="0.3">
      <c r="E21" t="s">
        <v>28</v>
      </c>
      <c r="F21">
        <f>AVERAGE(F2:F13)</f>
        <v>1.0000012498886124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sqref="A1:I4"/>
    </sheetView>
  </sheetViews>
  <sheetFormatPr defaultRowHeight="14.4" x14ac:dyDescent="0.3"/>
  <sheetData>
    <row r="1" spans="1:9" ht="28.8" x14ac:dyDescent="0.3">
      <c r="A1" s="1" t="s">
        <v>22</v>
      </c>
      <c r="B1" s="1" t="s">
        <v>30</v>
      </c>
      <c r="C1" s="1" t="s">
        <v>36</v>
      </c>
      <c r="D1" s="1" t="s">
        <v>37</v>
      </c>
      <c r="E1" s="1" t="s">
        <v>29</v>
      </c>
      <c r="F1" s="1" t="s">
        <v>32</v>
      </c>
      <c r="G1" s="1" t="s">
        <v>31</v>
      </c>
      <c r="H1" s="1" t="s">
        <v>39</v>
      </c>
      <c r="I1" s="1" t="s">
        <v>40</v>
      </c>
    </row>
    <row r="2" spans="1:9" x14ac:dyDescent="0.3">
      <c r="A2" s="9">
        <v>45292</v>
      </c>
      <c r="B2">
        <f>'Call Volume  Forecast II'!G14</f>
        <v>56933.529067406176</v>
      </c>
      <c r="C2" s="10">
        <v>0.33</v>
      </c>
      <c r="D2" s="10">
        <v>0.9</v>
      </c>
      <c r="E2" s="4">
        <v>271.58821584880343</v>
      </c>
      <c r="F2">
        <f>B2*E2/3600</f>
        <v>4295.1321059424536</v>
      </c>
      <c r="G2" s="4">
        <f>F2/4.824</f>
        <v>890.36735197812061</v>
      </c>
      <c r="H2">
        <f>CEILING(G2 * 1.05, 1)</f>
        <v>935</v>
      </c>
      <c r="I2" s="4">
        <f>H2-G2</f>
        <v>44.63264802187939</v>
      </c>
    </row>
    <row r="3" spans="1:9" x14ac:dyDescent="0.3">
      <c r="A3" s="9">
        <v>45323</v>
      </c>
      <c r="B3">
        <f>'Call Volume  Forecast II'!G15</f>
        <v>60539.529498237956</v>
      </c>
      <c r="C3" s="10">
        <v>0.33</v>
      </c>
      <c r="D3" s="10">
        <v>0.9</v>
      </c>
      <c r="E3" s="4">
        <v>266</v>
      </c>
      <c r="F3">
        <f t="shared" ref="F3:F4" si="0">B3*E3/3600</f>
        <v>4473.198568480916</v>
      </c>
      <c r="G3" s="4">
        <f>F3/4.824</f>
        <v>927.27996859057134</v>
      </c>
      <c r="H3">
        <f t="shared" ref="H3:H4" si="1">CEILING(G3 * 1.05, 1)</f>
        <v>974</v>
      </c>
      <c r="I3" s="4">
        <f t="shared" ref="I3:I4" si="2">H3-G3</f>
        <v>46.720031409428657</v>
      </c>
    </row>
    <row r="4" spans="1:9" x14ac:dyDescent="0.3">
      <c r="A4" s="9">
        <v>45352</v>
      </c>
      <c r="B4">
        <f>'Call Volume  Forecast II'!G16</f>
        <v>59423.002727833496</v>
      </c>
      <c r="C4" s="10">
        <v>0.33</v>
      </c>
      <c r="D4" s="10">
        <v>0.9</v>
      </c>
      <c r="E4" s="4">
        <v>286</v>
      </c>
      <c r="F4">
        <f t="shared" si="0"/>
        <v>4720.8274389334383</v>
      </c>
      <c r="G4" s="4">
        <f>F4/4.824</f>
        <v>978.61265317857351</v>
      </c>
      <c r="H4">
        <f t="shared" si="1"/>
        <v>1028</v>
      </c>
      <c r="I4" s="4">
        <f t="shared" si="2"/>
        <v>49.38734682142649</v>
      </c>
    </row>
    <row r="7" spans="1:9" ht="57.6" x14ac:dyDescent="0.3">
      <c r="D7" s="10"/>
      <c r="E7" s="11" t="s">
        <v>38</v>
      </c>
      <c r="F7">
        <v>4.8239999999999998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S19" sqref="S19"/>
    </sheetView>
  </sheetViews>
  <sheetFormatPr defaultRowHeight="14.4" x14ac:dyDescent="0.3"/>
  <cols>
    <col min="1" max="1" width="11.33203125" style="6" bestFit="1" customWidth="1"/>
    <col min="2" max="2" width="11.33203125" style="6" customWidth="1"/>
    <col min="3" max="3" width="8.88671875" style="6"/>
  </cols>
  <sheetData>
    <row r="1" spans="1:7" ht="28.8" x14ac:dyDescent="0.3">
      <c r="A1" s="1" t="s">
        <v>22</v>
      </c>
      <c r="B1" s="1" t="s">
        <v>2</v>
      </c>
      <c r="C1" s="1" t="s">
        <v>20</v>
      </c>
      <c r="D1" s="1" t="s">
        <v>21</v>
      </c>
      <c r="E1" s="1" t="s">
        <v>24</v>
      </c>
      <c r="F1" s="1" t="s">
        <v>23</v>
      </c>
      <c r="G1" s="1" t="s">
        <v>30</v>
      </c>
    </row>
    <row r="2" spans="1:7" x14ac:dyDescent="0.3">
      <c r="A2" s="8">
        <v>44927</v>
      </c>
      <c r="B2" s="2">
        <v>42000</v>
      </c>
      <c r="C2">
        <v>1</v>
      </c>
      <c r="D2" s="4">
        <f>_xlfn.FORECAST.LINEAR(C2,B2:B13,C2:C13)</f>
        <v>42705.128205128203</v>
      </c>
      <c r="E2">
        <f>B2/D2</f>
        <v>0.9834884419093366</v>
      </c>
      <c r="F2">
        <f>E2/G19</f>
        <v>0.98341086585941051</v>
      </c>
    </row>
    <row r="3" spans="1:7" x14ac:dyDescent="0.3">
      <c r="A3" s="8">
        <v>44958</v>
      </c>
      <c r="B3" s="2">
        <v>45000</v>
      </c>
      <c r="C3">
        <v>2</v>
      </c>
      <c r="D3" s="4">
        <f>_xlfn.FORECAST.LINEAR(C3,B2:B13,C2:C13)</f>
        <v>43970.86247086247</v>
      </c>
      <c r="E3">
        <f t="shared" ref="E3:E13" si="0">B3/D3</f>
        <v>1.0234049884697962</v>
      </c>
      <c r="F3">
        <f>E3/G19</f>
        <v>1.0233242638643032</v>
      </c>
    </row>
    <row r="4" spans="1:7" x14ac:dyDescent="0.3">
      <c r="A4" s="8">
        <v>44986</v>
      </c>
      <c r="B4" s="2">
        <v>48000</v>
      </c>
      <c r="C4">
        <v>3</v>
      </c>
      <c r="D4" s="4">
        <f>_xlfn.FORECAST.LINEAR(C4,B2:B13,C2:C13)</f>
        <v>45236.596736596737</v>
      </c>
      <c r="E4">
        <f t="shared" si="0"/>
        <v>1.0610877798675702</v>
      </c>
      <c r="F4">
        <f>E4/G19</f>
        <v>1.0610040829016687</v>
      </c>
    </row>
    <row r="5" spans="1:7" x14ac:dyDescent="0.3">
      <c r="A5" s="8">
        <v>45017</v>
      </c>
      <c r="B5" s="2">
        <v>43000</v>
      </c>
      <c r="C5">
        <v>4</v>
      </c>
      <c r="D5" s="4">
        <f>_xlfn.FORECAST.LINEAR(C5,B2:B13,C2:C13)</f>
        <v>46502.331002330997</v>
      </c>
      <c r="E5">
        <f t="shared" si="0"/>
        <v>0.9246848291937142</v>
      </c>
      <c r="F5">
        <f>E5/G19</f>
        <v>0.92461189148197442</v>
      </c>
    </row>
    <row r="6" spans="1:7" x14ac:dyDescent="0.3">
      <c r="A6" s="8">
        <v>45047</v>
      </c>
      <c r="B6" s="2">
        <v>47000</v>
      </c>
      <c r="C6">
        <v>5</v>
      </c>
      <c r="D6" s="4">
        <f>_xlfn.FORECAST.LINEAR(C6,B2:B13,C2:C13)</f>
        <v>47768.065268065264</v>
      </c>
      <c r="E6">
        <f t="shared" si="0"/>
        <v>0.98392094668781271</v>
      </c>
      <c r="F6">
        <f>E6/G19</f>
        <v>0.98384333652257749</v>
      </c>
    </row>
    <row r="7" spans="1:7" x14ac:dyDescent="0.3">
      <c r="A7" s="8">
        <v>45078</v>
      </c>
      <c r="B7" s="2">
        <v>52000</v>
      </c>
      <c r="C7">
        <v>6</v>
      </c>
      <c r="D7" s="4">
        <f>_xlfn.FORECAST.LINEAR(C7,B2:B13,C2:C13)</f>
        <v>49033.799533799531</v>
      </c>
      <c r="E7">
        <f t="shared" si="0"/>
        <v>1.0604929761593498</v>
      </c>
      <c r="F7">
        <f>E7/G19</f>
        <v>1.0604093261106466</v>
      </c>
    </row>
    <row r="8" spans="1:7" x14ac:dyDescent="0.3">
      <c r="A8" s="8">
        <v>45108</v>
      </c>
      <c r="B8" s="2">
        <v>53000</v>
      </c>
      <c r="C8">
        <v>7</v>
      </c>
      <c r="D8" s="4">
        <f>_xlfn.FORECAST.LINEAR(C8,B2:B13,C2:C13)</f>
        <v>50299.533799533798</v>
      </c>
      <c r="E8">
        <f t="shared" si="0"/>
        <v>1.0536876984035035</v>
      </c>
      <c r="F8">
        <f>E8/G19</f>
        <v>1.0536045851446032</v>
      </c>
    </row>
    <row r="9" spans="1:7" x14ac:dyDescent="0.3">
      <c r="A9" s="8">
        <v>45139</v>
      </c>
      <c r="B9" s="2">
        <v>51000</v>
      </c>
      <c r="C9">
        <v>8</v>
      </c>
      <c r="D9" s="4">
        <f>_xlfn.FORECAST.LINEAR(C9,B2:B13,C2:C13)</f>
        <v>51565.268065268065</v>
      </c>
      <c r="E9">
        <f t="shared" si="0"/>
        <v>0.98903781389146306</v>
      </c>
      <c r="F9">
        <f>E9/G19</f>
        <v>0.98895980011564255</v>
      </c>
    </row>
    <row r="10" spans="1:7" x14ac:dyDescent="0.3">
      <c r="A10" s="8">
        <v>45170</v>
      </c>
      <c r="B10" s="2">
        <v>48000</v>
      </c>
      <c r="C10">
        <v>9</v>
      </c>
      <c r="D10" s="4">
        <f>_xlfn.FORECAST.LINEAR(C10,B2:B13,C2:C13)</f>
        <v>52831.002331002324</v>
      </c>
      <c r="E10">
        <f t="shared" si="0"/>
        <v>0.90855743563723013</v>
      </c>
      <c r="F10">
        <f>E10/G19</f>
        <v>0.90848577002939557</v>
      </c>
    </row>
    <row r="11" spans="1:7" x14ac:dyDescent="0.3">
      <c r="A11" s="8">
        <v>45200</v>
      </c>
      <c r="B11" s="2">
        <v>50000</v>
      </c>
      <c r="C11">
        <v>10</v>
      </c>
      <c r="D11" s="4">
        <f>_xlfn.FORECAST.LINEAR(C11,B2:B13,C2:C13)</f>
        <v>54096.736596736591</v>
      </c>
      <c r="E11">
        <f t="shared" si="0"/>
        <v>0.92427017128083599</v>
      </c>
      <c r="F11">
        <f>E11/G19</f>
        <v>0.9241972662766722</v>
      </c>
    </row>
    <row r="12" spans="1:7" x14ac:dyDescent="0.3">
      <c r="A12" s="8">
        <v>45231</v>
      </c>
      <c r="B12" s="2">
        <v>55000</v>
      </c>
      <c r="C12">
        <v>11</v>
      </c>
      <c r="D12" s="4">
        <f>_xlfn.FORECAST.LINEAR(C12,B2:B13,C2:C13)</f>
        <v>55362.470862470858</v>
      </c>
      <c r="E12">
        <f t="shared" si="0"/>
        <v>0.99345276941538085</v>
      </c>
      <c r="F12">
        <f>E12/G19</f>
        <v>0.99337440739468463</v>
      </c>
    </row>
    <row r="13" spans="1:7" x14ac:dyDescent="0.3">
      <c r="A13" s="8">
        <v>45261</v>
      </c>
      <c r="B13" s="2">
        <v>62000</v>
      </c>
      <c r="C13">
        <v>12</v>
      </c>
      <c r="D13" s="4">
        <f>_xlfn.FORECAST.LINEAR(C13,B2:B13,C2:C13)</f>
        <v>56628.205128205125</v>
      </c>
      <c r="E13">
        <f t="shared" si="0"/>
        <v>1.094860765225266</v>
      </c>
      <c r="F13">
        <f>E13/G19</f>
        <v>1.0947744042984204</v>
      </c>
    </row>
    <row r="14" spans="1:7" x14ac:dyDescent="0.3">
      <c r="A14" s="8">
        <v>45292</v>
      </c>
      <c r="B14"/>
      <c r="C14">
        <v>13</v>
      </c>
      <c r="D14" s="4">
        <f>_xlfn.FORECAST.LINEAR(C14,B2:B13,C2:C13)</f>
        <v>57893.939393939392</v>
      </c>
      <c r="F14">
        <f>IF(E2="", "", E2 / $G$19)</f>
        <v>0.98341086585941051</v>
      </c>
      <c r="G14">
        <f>D14*F2</f>
        <v>56933.529067406176</v>
      </c>
    </row>
    <row r="15" spans="1:7" x14ac:dyDescent="0.3">
      <c r="A15" s="8">
        <v>45323</v>
      </c>
      <c r="B15"/>
      <c r="C15">
        <v>14</v>
      </c>
      <c r="D15" s="4">
        <f>_xlfn.FORECAST.LINEAR(C15,B2:B13,C2:C13)</f>
        <v>59159.673659673659</v>
      </c>
      <c r="F15">
        <f t="shared" ref="F15:F16" si="1">IF(E3="", "", E3 / $G$19)</f>
        <v>1.0233242638643032</v>
      </c>
      <c r="G15">
        <f>D15*F3</f>
        <v>60539.529498237956</v>
      </c>
    </row>
    <row r="16" spans="1:7" x14ac:dyDescent="0.3">
      <c r="A16" s="8">
        <v>45352</v>
      </c>
      <c r="B16"/>
      <c r="C16">
        <v>15</v>
      </c>
      <c r="D16" s="4">
        <f>_xlfn.FORECAST.LINEAR(C16,B2:B13,C2:C13)</f>
        <v>60425.407925407926</v>
      </c>
      <c r="F16">
        <f t="shared" si="1"/>
        <v>1.0610040829016687</v>
      </c>
      <c r="G16">
        <f>D16*F2</f>
        <v>59423.002727833496</v>
      </c>
    </row>
    <row r="19" spans="6:9" ht="72" x14ac:dyDescent="0.3">
      <c r="F19" s="5" t="s">
        <v>25</v>
      </c>
      <c r="G19">
        <f>AVERAGE(E2:E13)</f>
        <v>1.0000788846784383</v>
      </c>
      <c r="H19" s="7"/>
    </row>
    <row r="27" spans="6:9" x14ac:dyDescent="0.3">
      <c r="I27" t="s">
        <v>26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4" workbookViewId="0">
      <selection activeCell="T7" sqref="T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Edited Data</vt:lpstr>
      <vt:lpstr>Call Volume Forecast  I</vt:lpstr>
      <vt:lpstr>Workload Forecast</vt:lpstr>
      <vt:lpstr>AHT Forecast</vt:lpstr>
      <vt:lpstr>Capacity Plan 2024</vt:lpstr>
      <vt:lpstr>Call Volume  Forecast II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2025-11-19T03:44:54Z</dcterms:created>
  <dcterms:modified xsi:type="dcterms:W3CDTF">2025-11-21T14:21:46Z</dcterms:modified>
</cp:coreProperties>
</file>